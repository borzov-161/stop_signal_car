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120" yWindow="105" windowWidth="15120" windowHeight="8010" firstSheet="1" activeTab="18"/>
  </bookViews>
  <sheets>
    <sheet name="рст" sheetId="3" r:id="rId1"/>
    <sheet name="уфх" sheetId="12" r:id="rId2"/>
    <sheet name="цчш" sheetId="14" r:id="rId3"/>
    <sheet name="щъы" sheetId="15" r:id="rId4"/>
    <sheet name="ьэю" sheetId="21" r:id="rId5"/>
    <sheet name="яАБ" sheetId="22" r:id="rId6"/>
    <sheet name="ВГД" sheetId="23" r:id="rId7"/>
    <sheet name="ЕЖЗ" sheetId="24" r:id="rId8"/>
    <sheet name="ИЙК" sheetId="25" r:id="rId9"/>
    <sheet name="ЛМН" sheetId="26" r:id="rId10"/>
    <sheet name="ОПР" sheetId="36" r:id="rId11"/>
    <sheet name="СТУ" sheetId="37" r:id="rId12"/>
    <sheet name="ФХЦ" sheetId="38" r:id="rId13"/>
    <sheet name="ЧШЩ" sheetId="47" r:id="rId14"/>
    <sheet name="ЪЫЬ" sheetId="39" r:id="rId15"/>
    <sheet name="ЭЮЯ" sheetId="40" r:id="rId16"/>
    <sheet name="абв" sheetId="41" r:id="rId17"/>
    <sheet name="где" sheetId="42" r:id="rId18"/>
    <sheet name="жзи" sheetId="43" r:id="rId19"/>
    <sheet name="йкл" sheetId="44" r:id="rId20"/>
    <sheet name="мно" sheetId="45" r:id="rId21"/>
    <sheet name="пххх" sheetId="46" r:id="rId22"/>
    <sheet name="итог" sheetId="48" r:id="rId23"/>
    <sheet name="Лист1" sheetId="49" r:id="rId24"/>
    <sheet name="Лист2" sheetId="50" r:id="rId25"/>
    <sheet name="обратка" sheetId="51" r:id="rId26"/>
  </sheets>
  <calcPr calcId="124519"/>
</workbook>
</file>

<file path=xl/calcChain.xml><?xml version="1.0" encoding="utf-8"?>
<calcChain xmlns="http://schemas.openxmlformats.org/spreadsheetml/2006/main">
  <c r="DC21" i="51"/>
  <c r="DC22"/>
  <c r="DC23"/>
  <c r="CE3"/>
  <c r="D5"/>
  <c r="B5" s="1"/>
  <c r="L22"/>
  <c r="CL21"/>
  <c r="CL22"/>
  <c r="CI20"/>
  <c r="CF20" s="1"/>
  <c r="CL20" s="1"/>
  <c r="CI19"/>
  <c r="CF19" s="1"/>
  <c r="CL19" s="1"/>
  <c r="CI18"/>
  <c r="CE18" s="1"/>
  <c r="CK18" s="1"/>
  <c r="CI17"/>
  <c r="CF17" s="1"/>
  <c r="CL17" s="1"/>
  <c r="CI16"/>
  <c r="CF16" s="1"/>
  <c r="CL16" s="1"/>
  <c r="CI15"/>
  <c r="CF15" s="1"/>
  <c r="CL15" s="1"/>
  <c r="CI14"/>
  <c r="CE14" s="1"/>
  <c r="CK14" s="1"/>
  <c r="CI13"/>
  <c r="CF13" s="1"/>
  <c r="CL13" s="1"/>
  <c r="CI12"/>
  <c r="CF12" s="1"/>
  <c r="CL12" s="1"/>
  <c r="CI11"/>
  <c r="CF11" s="1"/>
  <c r="CL11" s="1"/>
  <c r="CI10"/>
  <c r="CE10" s="1"/>
  <c r="CK10" s="1"/>
  <c r="CI9"/>
  <c r="CF9" s="1"/>
  <c r="CL9" s="1"/>
  <c r="CI8"/>
  <c r="CF8" s="1"/>
  <c r="CL8" s="1"/>
  <c r="CI7"/>
  <c r="CF7" s="1"/>
  <c r="CL7" s="1"/>
  <c r="CI6"/>
  <c r="CE6" s="1"/>
  <c r="CK6" s="1"/>
  <c r="CI5"/>
  <c r="CF5" s="1"/>
  <c r="CL5" s="1"/>
  <c r="T22"/>
  <c r="S22"/>
  <c r="R22"/>
  <c r="Q22"/>
  <c r="P22"/>
  <c r="O22"/>
  <c r="N22"/>
  <c r="M22"/>
  <c r="K22"/>
  <c r="J22"/>
  <c r="I22"/>
  <c r="H22"/>
  <c r="G22"/>
  <c r="F22"/>
  <c r="E22"/>
  <c r="U20"/>
  <c r="W20" s="1"/>
  <c r="D20"/>
  <c r="B20" s="1"/>
  <c r="U19"/>
  <c r="V19" s="1"/>
  <c r="D19"/>
  <c r="B19" s="1"/>
  <c r="U18"/>
  <c r="W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B11" s="1"/>
  <c r="U10"/>
  <c r="V10" s="1"/>
  <c r="D10"/>
  <c r="B10" s="1"/>
  <c r="U9"/>
  <c r="V9" s="1"/>
  <c r="D9"/>
  <c r="B9" s="1"/>
  <c r="U8"/>
  <c r="V8" s="1"/>
  <c r="D8"/>
  <c r="B8" s="1"/>
  <c r="U7"/>
  <c r="V7" s="1"/>
  <c r="D7"/>
  <c r="B7" s="1"/>
  <c r="U6"/>
  <c r="V6" s="1"/>
  <c r="D6"/>
  <c r="B6" s="1"/>
  <c r="U5"/>
  <c r="V5" s="1"/>
  <c r="Z24" i="49"/>
  <c r="AA24"/>
  <c r="AB24"/>
  <c r="AC24"/>
  <c r="AD24"/>
  <c r="AE24"/>
  <c r="Y24"/>
  <c r="X24"/>
  <c r="R24"/>
  <c r="S24"/>
  <c r="T24"/>
  <c r="U24"/>
  <c r="V24"/>
  <c r="W24"/>
  <c r="Q24"/>
  <c r="P24"/>
  <c r="Z23"/>
  <c r="AA23"/>
  <c r="AB23"/>
  <c r="AC23"/>
  <c r="AD23"/>
  <c r="AE23"/>
  <c r="Y23"/>
  <c r="X23"/>
  <c r="R23"/>
  <c r="S23"/>
  <c r="T23"/>
  <c r="U23"/>
  <c r="V23"/>
  <c r="W23"/>
  <c r="Q23"/>
  <c r="P23"/>
  <c r="Z22"/>
  <c r="AA22"/>
  <c r="AB22"/>
  <c r="AC22"/>
  <c r="AD22"/>
  <c r="AE22"/>
  <c r="Y22"/>
  <c r="X22"/>
  <c r="R22"/>
  <c r="S22"/>
  <c r="T22"/>
  <c r="U22"/>
  <c r="V22"/>
  <c r="W22"/>
  <c r="Q22"/>
  <c r="P22"/>
  <c r="Z21"/>
  <c r="AA21"/>
  <c r="AB21"/>
  <c r="AC21"/>
  <c r="AD21"/>
  <c r="AE21"/>
  <c r="Y21"/>
  <c r="X21"/>
  <c r="R21"/>
  <c r="S21"/>
  <c r="T21"/>
  <c r="U21"/>
  <c r="V21"/>
  <c r="W21"/>
  <c r="Q21"/>
  <c r="P21"/>
  <c r="Z20"/>
  <c r="AA20"/>
  <c r="AB20"/>
  <c r="AC20"/>
  <c r="AD20"/>
  <c r="AE20"/>
  <c r="Y20"/>
  <c r="X20"/>
  <c r="R20"/>
  <c r="S20"/>
  <c r="T20"/>
  <c r="U20"/>
  <c r="V20"/>
  <c r="W20"/>
  <c r="Q20"/>
  <c r="P20"/>
  <c r="Z19"/>
  <c r="AA19"/>
  <c r="AB19"/>
  <c r="AC19"/>
  <c r="AD19"/>
  <c r="AE19"/>
  <c r="Y19"/>
  <c r="X19"/>
  <c r="R19"/>
  <c r="S19"/>
  <c r="T19"/>
  <c r="U19"/>
  <c r="V19"/>
  <c r="W19"/>
  <c r="Q19"/>
  <c r="P19"/>
  <c r="Z18"/>
  <c r="AA18"/>
  <c r="AB18"/>
  <c r="AC18"/>
  <c r="AD18"/>
  <c r="AE18"/>
  <c r="Y18"/>
  <c r="X18"/>
  <c r="R18"/>
  <c r="S18"/>
  <c r="T18"/>
  <c r="U18"/>
  <c r="V18"/>
  <c r="W18"/>
  <c r="Q18"/>
  <c r="P18"/>
  <c r="Z17"/>
  <c r="AA17"/>
  <c r="AB17"/>
  <c r="AC17"/>
  <c r="AD17"/>
  <c r="AE17"/>
  <c r="Y17"/>
  <c r="X17"/>
  <c r="R17"/>
  <c r="S17"/>
  <c r="T17"/>
  <c r="U17"/>
  <c r="V17"/>
  <c r="W17"/>
  <c r="Q17"/>
  <c r="P17"/>
  <c r="Z16"/>
  <c r="AA16"/>
  <c r="AB16"/>
  <c r="AC16"/>
  <c r="AD16"/>
  <c r="AE16"/>
  <c r="Y16"/>
  <c r="X16"/>
  <c r="R16"/>
  <c r="S16"/>
  <c r="T16"/>
  <c r="U16"/>
  <c r="V16"/>
  <c r="W16"/>
  <c r="Q16"/>
  <c r="P16"/>
  <c r="Z15"/>
  <c r="AA15"/>
  <c r="AB15"/>
  <c r="AC15"/>
  <c r="AD15"/>
  <c r="AE15"/>
  <c r="Y15"/>
  <c r="X15"/>
  <c r="R15"/>
  <c r="S15"/>
  <c r="T15"/>
  <c r="U15"/>
  <c r="V15"/>
  <c r="W15"/>
  <c r="Q15"/>
  <c r="P15"/>
  <c r="Z14"/>
  <c r="AA14"/>
  <c r="AB14"/>
  <c r="AC14"/>
  <c r="AD14"/>
  <c r="AE14"/>
  <c r="Y14"/>
  <c r="X14"/>
  <c r="R14"/>
  <c r="S14"/>
  <c r="T14"/>
  <c r="U14"/>
  <c r="V14"/>
  <c r="W14"/>
  <c r="Q14"/>
  <c r="P14"/>
  <c r="Z13"/>
  <c r="AA13"/>
  <c r="AB13"/>
  <c r="AC13"/>
  <c r="AD13"/>
  <c r="AE13"/>
  <c r="Y13"/>
  <c r="X13"/>
  <c r="R13"/>
  <c r="S13"/>
  <c r="T13"/>
  <c r="U13"/>
  <c r="V13"/>
  <c r="W13"/>
  <c r="Q13"/>
  <c r="P13"/>
  <c r="Z12"/>
  <c r="AA12"/>
  <c r="AB12"/>
  <c r="AC12"/>
  <c r="AD12"/>
  <c r="AE12"/>
  <c r="Y12"/>
  <c r="X12"/>
  <c r="R12"/>
  <c r="S12"/>
  <c r="T12"/>
  <c r="U12"/>
  <c r="V12"/>
  <c r="W12"/>
  <c r="Q12"/>
  <c r="P12"/>
  <c r="R10"/>
  <c r="S10"/>
  <c r="T10"/>
  <c r="U10"/>
  <c r="V10"/>
  <c r="W10"/>
  <c r="R11"/>
  <c r="S11"/>
  <c r="T11"/>
  <c r="U11"/>
  <c r="V11"/>
  <c r="W11"/>
  <c r="Z11"/>
  <c r="AA11"/>
  <c r="AB11"/>
  <c r="AC11"/>
  <c r="AD11"/>
  <c r="AE11"/>
  <c r="Y11"/>
  <c r="X11"/>
  <c r="Q11"/>
  <c r="P11"/>
  <c r="Z10"/>
  <c r="AA10"/>
  <c r="AB10"/>
  <c r="AC10"/>
  <c r="AD10"/>
  <c r="AE10"/>
  <c r="Y10"/>
  <c r="X10"/>
  <c r="Q10"/>
  <c r="P10"/>
  <c r="Z9"/>
  <c r="AA9"/>
  <c r="AB9"/>
  <c r="AC9"/>
  <c r="AD9"/>
  <c r="AE9"/>
  <c r="Y9"/>
  <c r="X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9"/>
  <c r="G9" s="1"/>
  <c r="P9" s="1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10"/>
  <c r="E11"/>
  <c r="E12"/>
  <c r="E13"/>
  <c r="E14"/>
  <c r="E8"/>
  <c r="E18" i="48"/>
  <c r="S18" s="1"/>
  <c r="E17"/>
  <c r="S17" s="1"/>
  <c r="E16"/>
  <c r="S16" s="1"/>
  <c r="E15"/>
  <c r="S15" s="1"/>
  <c r="E14"/>
  <c r="S14" s="1"/>
  <c r="E13"/>
  <c r="S13" s="1"/>
  <c r="E12"/>
  <c r="S12" s="1"/>
  <c r="E11"/>
  <c r="S11" s="1"/>
  <c r="E8"/>
  <c r="S8" s="1"/>
  <c r="F20" i="37"/>
  <c r="BV22" i="4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W19"/>
  <c r="BX19" s="1"/>
  <c r="BF19"/>
  <c r="BD19" s="1"/>
  <c r="BE19"/>
  <c r="AV19"/>
  <c r="AW19" s="1"/>
  <c r="AE19"/>
  <c r="AC19" s="1"/>
  <c r="U19"/>
  <c r="V19" s="1"/>
  <c r="D19"/>
  <c r="C19" s="1"/>
  <c r="BW18"/>
  <c r="BX18" s="1"/>
  <c r="BF18"/>
  <c r="BD18" s="1"/>
  <c r="AW18"/>
  <c r="AV18"/>
  <c r="AX18" s="1"/>
  <c r="AE18"/>
  <c r="AD18" s="1"/>
  <c r="U18"/>
  <c r="V18" s="1"/>
  <c r="D18"/>
  <c r="B18" s="1"/>
  <c r="BW17"/>
  <c r="BY17" s="1"/>
  <c r="BF17"/>
  <c r="BE17" s="1"/>
  <c r="AV17"/>
  <c r="AW17" s="1"/>
  <c r="AE17"/>
  <c r="AC17" s="1"/>
  <c r="U17"/>
  <c r="V17" s="1"/>
  <c r="D17"/>
  <c r="C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X14"/>
  <c r="AW14"/>
  <c r="AV14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C13" s="1"/>
  <c r="BW12"/>
  <c r="BX12" s="1"/>
  <c r="BF12"/>
  <c r="BD12" s="1"/>
  <c r="AV12"/>
  <c r="AX12" s="1"/>
  <c r="AE12"/>
  <c r="AC12" s="1"/>
  <c r="U12"/>
  <c r="V12" s="1"/>
  <c r="D12"/>
  <c r="B12" s="1"/>
  <c r="BY11"/>
  <c r="BW11"/>
  <c r="BX11" s="1"/>
  <c r="BF11"/>
  <c r="BD11" s="1"/>
  <c r="BE11"/>
  <c r="AV11"/>
  <c r="AW11" s="1"/>
  <c r="AE11"/>
  <c r="AC11" s="1"/>
  <c r="W11"/>
  <c r="U11"/>
  <c r="V11" s="1"/>
  <c r="D11"/>
  <c r="B11" s="1"/>
  <c r="BW10"/>
  <c r="BX10" s="1"/>
  <c r="BF10"/>
  <c r="BD10" s="1"/>
  <c r="AW10"/>
  <c r="AV10"/>
  <c r="AX10" s="1"/>
  <c r="AE10"/>
  <c r="AD10" s="1"/>
  <c r="U10"/>
  <c r="V10" s="1"/>
  <c r="D10"/>
  <c r="B10" s="1"/>
  <c r="BW9"/>
  <c r="BY9" s="1"/>
  <c r="BF9"/>
  <c r="BE9" s="1"/>
  <c r="AV9"/>
  <c r="AW9" s="1"/>
  <c r="AE9"/>
  <c r="AC9" s="1"/>
  <c r="U9"/>
  <c r="W9" s="1"/>
  <c r="D9"/>
  <c r="C9" s="1"/>
  <c r="BW8"/>
  <c r="BX8" s="1"/>
  <c r="BF8"/>
  <c r="BD8" s="1"/>
  <c r="AV8"/>
  <c r="AX8" s="1"/>
  <c r="AE8"/>
  <c r="AD8" s="1"/>
  <c r="U8"/>
  <c r="V8" s="1"/>
  <c r="D8"/>
  <c r="B8" s="1"/>
  <c r="BW7"/>
  <c r="BY7" s="1"/>
  <c r="BF7"/>
  <c r="BD7" s="1"/>
  <c r="AV7"/>
  <c r="AW7" s="1"/>
  <c r="AE7"/>
  <c r="AC7" s="1"/>
  <c r="U7"/>
  <c r="W7" s="1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U5"/>
  <c r="W5" s="1"/>
  <c r="D5"/>
  <c r="B5" s="1"/>
  <c r="E11" i="26"/>
  <c r="BP17" i="23"/>
  <c r="BP16"/>
  <c r="BP15"/>
  <c r="BP14"/>
  <c r="BP13"/>
  <c r="BP12"/>
  <c r="BP11"/>
  <c r="BP10"/>
  <c r="BP9"/>
  <c r="BP8"/>
  <c r="BP7"/>
  <c r="BP6"/>
  <c r="BP5"/>
  <c r="W15" i="47" l="1"/>
  <c r="BX7"/>
  <c r="BD17"/>
  <c r="BD5"/>
  <c r="BD9"/>
  <c r="BX5"/>
  <c r="BX9"/>
  <c r="BE13"/>
  <c r="BE15"/>
  <c r="BX17"/>
  <c r="BY19"/>
  <c r="AC8"/>
  <c r="AW8"/>
  <c r="AW6"/>
  <c r="AC6"/>
  <c r="AC14"/>
  <c r="AD12"/>
  <c r="AC10"/>
  <c r="AD16"/>
  <c r="AC18"/>
  <c r="AD20"/>
  <c r="W13"/>
  <c r="W17"/>
  <c r="W19"/>
  <c r="V18" i="51"/>
  <c r="C20"/>
  <c r="V20"/>
  <c r="C6"/>
  <c r="W6"/>
  <c r="C8"/>
  <c r="W8"/>
  <c r="C10"/>
  <c r="W10"/>
  <c r="C12"/>
  <c r="W12"/>
  <c r="C14"/>
  <c r="W14"/>
  <c r="C16"/>
  <c r="W16"/>
  <c r="CE7"/>
  <c r="CK7" s="1"/>
  <c r="CM7" s="1"/>
  <c r="CN7" s="1"/>
  <c r="CF6"/>
  <c r="CL6" s="1"/>
  <c r="CM6" s="1"/>
  <c r="CN6" s="1"/>
  <c r="CE11"/>
  <c r="CK11" s="1"/>
  <c r="CM11" s="1"/>
  <c r="CN11" s="1"/>
  <c r="CF10"/>
  <c r="CL10" s="1"/>
  <c r="CM10" s="1"/>
  <c r="CN10" s="1"/>
  <c r="CE15"/>
  <c r="CK15" s="1"/>
  <c r="CM15" s="1"/>
  <c r="CN15" s="1"/>
  <c r="CF14"/>
  <c r="CL14" s="1"/>
  <c r="CM14" s="1"/>
  <c r="CN14" s="1"/>
  <c r="CE19"/>
  <c r="CF18"/>
  <c r="CL18" s="1"/>
  <c r="CM18" s="1"/>
  <c r="CE20"/>
  <c r="CE16"/>
  <c r="CK16" s="1"/>
  <c r="CM16" s="1"/>
  <c r="CN16" s="1"/>
  <c r="CE12"/>
  <c r="CK12" s="1"/>
  <c r="CM12" s="1"/>
  <c r="CN12" s="1"/>
  <c r="CE8"/>
  <c r="CK8" s="1"/>
  <c r="CM8" s="1"/>
  <c r="CN8" s="1"/>
  <c r="CE17"/>
  <c r="CK17" s="1"/>
  <c r="CM17" s="1"/>
  <c r="CE13"/>
  <c r="CK13" s="1"/>
  <c r="CM13" s="1"/>
  <c r="CN13" s="1"/>
  <c r="CE9"/>
  <c r="CK9" s="1"/>
  <c r="CM9" s="1"/>
  <c r="CN9" s="1"/>
  <c r="CE5"/>
  <c r="CK5" s="1"/>
  <c r="CM5" s="1"/>
  <c r="U22"/>
  <c r="V22" s="1"/>
  <c r="C18"/>
  <c r="C5"/>
  <c r="W5"/>
  <c r="C7"/>
  <c r="W7"/>
  <c r="C9"/>
  <c r="W9"/>
  <c r="C11"/>
  <c r="W11"/>
  <c r="C13"/>
  <c r="W13"/>
  <c r="C15"/>
  <c r="W15"/>
  <c r="C17"/>
  <c r="W17"/>
  <c r="C19"/>
  <c r="W19"/>
  <c r="K9" i="49"/>
  <c r="T9" s="1"/>
  <c r="J9"/>
  <c r="S9" s="1"/>
  <c r="N9"/>
  <c r="W9" s="1"/>
  <c r="L9"/>
  <c r="U9" s="1"/>
  <c r="I9"/>
  <c r="R9" s="1"/>
  <c r="M9"/>
  <c r="V9" s="1"/>
  <c r="H9"/>
  <c r="Q9" s="1"/>
  <c r="BW22" i="47"/>
  <c r="BE7"/>
  <c r="BY13"/>
  <c r="BY15"/>
  <c r="AW12"/>
  <c r="AW20"/>
  <c r="AV22"/>
  <c r="AW22" s="1"/>
  <c r="AX16"/>
  <c r="C5"/>
  <c r="C11"/>
  <c r="V5"/>
  <c r="B7"/>
  <c r="V7"/>
  <c r="B9"/>
  <c r="V9"/>
  <c r="B13"/>
  <c r="B15"/>
  <c r="B17"/>
  <c r="B19"/>
  <c r="U22"/>
  <c r="V22" s="1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V22" i="4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BE20"/>
  <c r="AX20"/>
  <c r="AV20"/>
  <c r="AW20" s="1"/>
  <c r="AE20"/>
  <c r="AD20"/>
  <c r="AC20"/>
  <c r="U20"/>
  <c r="V20" s="1"/>
  <c r="D20"/>
  <c r="B20" s="1"/>
  <c r="BY19"/>
  <c r="BW19"/>
  <c r="BX19" s="1"/>
  <c r="BF19"/>
  <c r="BE19"/>
  <c r="BD19"/>
  <c r="AV19"/>
  <c r="AW19" s="1"/>
  <c r="AE19"/>
  <c r="AC19" s="1"/>
  <c r="AD19"/>
  <c r="W19"/>
  <c r="U19"/>
  <c r="V19" s="1"/>
  <c r="D19"/>
  <c r="B19" s="1"/>
  <c r="BW18"/>
  <c r="BX18" s="1"/>
  <c r="BF18"/>
  <c r="BD18" s="1"/>
  <c r="BE18"/>
  <c r="AX18"/>
  <c r="AV18"/>
  <c r="AW18" s="1"/>
  <c r="AE18"/>
  <c r="AD18"/>
  <c r="AC18"/>
  <c r="U18"/>
  <c r="V18" s="1"/>
  <c r="D18"/>
  <c r="B18" s="1"/>
  <c r="BY17"/>
  <c r="BW17"/>
  <c r="BX17" s="1"/>
  <c r="BF17"/>
  <c r="BE17"/>
  <c r="BD17"/>
  <c r="AV17"/>
  <c r="AW17" s="1"/>
  <c r="AE17"/>
  <c r="AC17" s="1"/>
  <c r="W17"/>
  <c r="U17"/>
  <c r="V17" s="1"/>
  <c r="D17"/>
  <c r="B17" s="1"/>
  <c r="BW16"/>
  <c r="BX16" s="1"/>
  <c r="BF16"/>
  <c r="BD16" s="1"/>
  <c r="BE16"/>
  <c r="AX16"/>
  <c r="AV16"/>
  <c r="AW16" s="1"/>
  <c r="AE16"/>
  <c r="AD16" s="1"/>
  <c r="AC16"/>
  <c r="U16"/>
  <c r="V16" s="1"/>
  <c r="D16"/>
  <c r="B16" s="1"/>
  <c r="BY15"/>
  <c r="BW15"/>
  <c r="BX15" s="1"/>
  <c r="BF15"/>
  <c r="BE15"/>
  <c r="BD15"/>
  <c r="AV15"/>
  <c r="AW15" s="1"/>
  <c r="AE15"/>
  <c r="AC15" s="1"/>
  <c r="W15"/>
  <c r="V15"/>
  <c r="U15"/>
  <c r="D15"/>
  <c r="B15" s="1"/>
  <c r="C15"/>
  <c r="BW14"/>
  <c r="BX14" s="1"/>
  <c r="BF14"/>
  <c r="BD14" s="1"/>
  <c r="AX14"/>
  <c r="AW14"/>
  <c r="AV14"/>
  <c r="AE14"/>
  <c r="AD14" s="1"/>
  <c r="U14"/>
  <c r="V14" s="1"/>
  <c r="D14"/>
  <c r="B14" s="1"/>
  <c r="BX13"/>
  <c r="BW13"/>
  <c r="BY13" s="1"/>
  <c r="BF13"/>
  <c r="BD13" s="1"/>
  <c r="AV13"/>
  <c r="AW13" s="1"/>
  <c r="AE13"/>
  <c r="AC13" s="1"/>
  <c r="W13"/>
  <c r="V13"/>
  <c r="U13"/>
  <c r="D13"/>
  <c r="C13" s="1"/>
  <c r="BW12"/>
  <c r="BX12" s="1"/>
  <c r="BF12"/>
  <c r="BD12" s="1"/>
  <c r="AX12"/>
  <c r="AW12"/>
  <c r="AV12"/>
  <c r="AE12"/>
  <c r="AD12"/>
  <c r="AC12"/>
  <c r="U12"/>
  <c r="V12" s="1"/>
  <c r="D12"/>
  <c r="B12" s="1"/>
  <c r="BY11"/>
  <c r="BW11"/>
  <c r="BX11" s="1"/>
  <c r="BF11"/>
  <c r="BE11"/>
  <c r="BD11"/>
  <c r="AV11"/>
  <c r="AW11" s="1"/>
  <c r="AE11"/>
  <c r="AC11" s="1"/>
  <c r="W11"/>
  <c r="V11"/>
  <c r="U1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Y9"/>
  <c r="BX9"/>
  <c r="BW9"/>
  <c r="BF9"/>
  <c r="BD9" s="1"/>
  <c r="AV9"/>
  <c r="AW9" s="1"/>
  <c r="AE9"/>
  <c r="AC9" s="1"/>
  <c r="W9"/>
  <c r="V9"/>
  <c r="U9"/>
  <c r="D9"/>
  <c r="B9" s="1"/>
  <c r="BW8"/>
  <c r="BX8" s="1"/>
  <c r="BF8"/>
  <c r="BD8" s="1"/>
  <c r="AX8"/>
  <c r="AW8"/>
  <c r="AV8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/>
  <c r="B7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4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X20"/>
  <c r="AW20"/>
  <c r="AV20"/>
  <c r="AE20"/>
  <c r="AC20" s="1"/>
  <c r="V20"/>
  <c r="U20"/>
  <c r="W20" s="1"/>
  <c r="D20"/>
  <c r="C20" s="1"/>
  <c r="BY19"/>
  <c r="BX19"/>
  <c r="BW19"/>
  <c r="BF19"/>
  <c r="BD19" s="1"/>
  <c r="AW19"/>
  <c r="AV19"/>
  <c r="AX19" s="1"/>
  <c r="AE19"/>
  <c r="AD19" s="1"/>
  <c r="AC19"/>
  <c r="V19"/>
  <c r="U19"/>
  <c r="W19" s="1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W17"/>
  <c r="AV17"/>
  <c r="AX17" s="1"/>
  <c r="AE17"/>
  <c r="AD17" s="1"/>
  <c r="U17"/>
  <c r="V17" s="1"/>
  <c r="D17"/>
  <c r="B17" s="1"/>
  <c r="BX16"/>
  <c r="BW16"/>
  <c r="BY16" s="1"/>
  <c r="BF16"/>
  <c r="BE16" s="1"/>
  <c r="AX16"/>
  <c r="AW16"/>
  <c r="AV16"/>
  <c r="AE16"/>
  <c r="AC16" s="1"/>
  <c r="U16"/>
  <c r="W16" s="1"/>
  <c r="D16"/>
  <c r="C16" s="1"/>
  <c r="BY15"/>
  <c r="BX15"/>
  <c r="BW15"/>
  <c r="BF15"/>
  <c r="BD15" s="1"/>
  <c r="AW15"/>
  <c r="AV15"/>
  <c r="AX15" s="1"/>
  <c r="AE15"/>
  <c r="AD15" s="1"/>
  <c r="U15"/>
  <c r="W15" s="1"/>
  <c r="D15"/>
  <c r="B15" s="1"/>
  <c r="BX14"/>
  <c r="BW14"/>
  <c r="BY14" s="1"/>
  <c r="BF14"/>
  <c r="BE14" s="1"/>
  <c r="AX14"/>
  <c r="AW14"/>
  <c r="AV14"/>
  <c r="AE14"/>
  <c r="AC14" s="1"/>
  <c r="U14"/>
  <c r="W14" s="1"/>
  <c r="D14"/>
  <c r="C14" s="1"/>
  <c r="BY13"/>
  <c r="BX13"/>
  <c r="BW13"/>
  <c r="BF13"/>
  <c r="BD13" s="1"/>
  <c r="AW13"/>
  <c r="AV13"/>
  <c r="AX13" s="1"/>
  <c r="AE13"/>
  <c r="AD13" s="1"/>
  <c r="U13"/>
  <c r="W13" s="1"/>
  <c r="D13"/>
  <c r="B13" s="1"/>
  <c r="BX12"/>
  <c r="BW12"/>
  <c r="BY12" s="1"/>
  <c r="BF12"/>
  <c r="BE12" s="1"/>
  <c r="AX12"/>
  <c r="AW12"/>
  <c r="AV12"/>
  <c r="AE12"/>
  <c r="AC12" s="1"/>
  <c r="U12"/>
  <c r="W12" s="1"/>
  <c r="D12"/>
  <c r="C12" s="1"/>
  <c r="BY11"/>
  <c r="BX11"/>
  <c r="BW11"/>
  <c r="BF11"/>
  <c r="BD11" s="1"/>
  <c r="AW11"/>
  <c r="AV11"/>
  <c r="AX11" s="1"/>
  <c r="AE11"/>
  <c r="AD11" s="1"/>
  <c r="U11"/>
  <c r="W11" s="1"/>
  <c r="D11"/>
  <c r="B11" s="1"/>
  <c r="BX10"/>
  <c r="BW10"/>
  <c r="BY10" s="1"/>
  <c r="BF10"/>
  <c r="BE10" s="1"/>
  <c r="AX10"/>
  <c r="AW10"/>
  <c r="AV10"/>
  <c r="AE10"/>
  <c r="AC10" s="1"/>
  <c r="U10"/>
  <c r="W10" s="1"/>
  <c r="D10"/>
  <c r="C10" s="1"/>
  <c r="BY9"/>
  <c r="BX9"/>
  <c r="BW9"/>
  <c r="BF9"/>
  <c r="BD9" s="1"/>
  <c r="AW9"/>
  <c r="AV9"/>
  <c r="AX9" s="1"/>
  <c r="AE9"/>
  <c r="AD9" s="1"/>
  <c r="AC9"/>
  <c r="W9"/>
  <c r="U9"/>
  <c r="V9" s="1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AC7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AC5"/>
  <c r="W5"/>
  <c r="V5"/>
  <c r="U5"/>
  <c r="D5"/>
  <c r="B5" s="1"/>
  <c r="BV22" i="4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X20"/>
  <c r="AV20"/>
  <c r="AW20" s="1"/>
  <c r="AE20"/>
  <c r="AD20" s="1"/>
  <c r="U20"/>
  <c r="V20" s="1"/>
  <c r="D20"/>
  <c r="B20" s="1"/>
  <c r="BY19"/>
  <c r="BW19"/>
  <c r="BX19" s="1"/>
  <c r="BF19"/>
  <c r="BE19" s="1"/>
  <c r="AV19"/>
  <c r="AW19" s="1"/>
  <c r="AE19"/>
  <c r="AC19" s="1"/>
  <c r="W19"/>
  <c r="U19"/>
  <c r="V19" s="1"/>
  <c r="D19"/>
  <c r="B19" s="1"/>
  <c r="BW18"/>
  <c r="BX18" s="1"/>
  <c r="BF18"/>
  <c r="BD18" s="1"/>
  <c r="AX18"/>
  <c r="AV18"/>
  <c r="AW18" s="1"/>
  <c r="AE18"/>
  <c r="AC18" s="1"/>
  <c r="U18"/>
  <c r="V18" s="1"/>
  <c r="D18"/>
  <c r="B18" s="1"/>
  <c r="BY17"/>
  <c r="BW17"/>
  <c r="BX17" s="1"/>
  <c r="BF17"/>
  <c r="BD17" s="1"/>
  <c r="AV17"/>
  <c r="AW17" s="1"/>
  <c r="AE17"/>
  <c r="AC17" s="1"/>
  <c r="W17"/>
  <c r="U17"/>
  <c r="V17" s="1"/>
  <c r="D17"/>
  <c r="B17" s="1"/>
  <c r="BW16"/>
  <c r="BX16" s="1"/>
  <c r="BF16"/>
  <c r="BD16" s="1"/>
  <c r="AX16"/>
  <c r="AV16"/>
  <c r="AW16" s="1"/>
  <c r="AE16"/>
  <c r="AC16" s="1"/>
  <c r="U16"/>
  <c r="V16" s="1"/>
  <c r="D16"/>
  <c r="B16" s="1"/>
  <c r="BY15"/>
  <c r="BW15"/>
  <c r="BX15" s="1"/>
  <c r="BF15"/>
  <c r="BD15" s="1"/>
  <c r="AV15"/>
  <c r="AW15" s="1"/>
  <c r="AE15"/>
  <c r="AC15" s="1"/>
  <c r="W15"/>
  <c r="U15"/>
  <c r="V15" s="1"/>
  <c r="D15"/>
  <c r="B15" s="1"/>
  <c r="BW14"/>
  <c r="BX14" s="1"/>
  <c r="BF14"/>
  <c r="BD14" s="1"/>
  <c r="AX14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W13"/>
  <c r="U13"/>
  <c r="V13" s="1"/>
  <c r="D13"/>
  <c r="B13" s="1"/>
  <c r="BW12"/>
  <c r="BX12" s="1"/>
  <c r="BF12"/>
  <c r="BD12" s="1"/>
  <c r="AX12"/>
  <c r="AV12"/>
  <c r="AW12" s="1"/>
  <c r="AE12"/>
  <c r="AD12" s="1"/>
  <c r="U12"/>
  <c r="V12" s="1"/>
  <c r="D12"/>
  <c r="B12" s="1"/>
  <c r="BY11"/>
  <c r="BW11"/>
  <c r="BX11" s="1"/>
  <c r="BF11"/>
  <c r="BD11" s="1"/>
  <c r="AV11"/>
  <c r="AW11" s="1"/>
  <c r="AE11"/>
  <c r="AC11" s="1"/>
  <c r="W11"/>
  <c r="U11"/>
  <c r="V11" s="1"/>
  <c r="D11"/>
  <c r="B11" s="1"/>
  <c r="BW10"/>
  <c r="BX10" s="1"/>
  <c r="BF10"/>
  <c r="BD10" s="1"/>
  <c r="AX10"/>
  <c r="AV10"/>
  <c r="AW10" s="1"/>
  <c r="AE10"/>
  <c r="AC10" s="1"/>
  <c r="U10"/>
  <c r="V10" s="1"/>
  <c r="D10"/>
  <c r="B10" s="1"/>
  <c r="BY9"/>
  <c r="BW9"/>
  <c r="BX9" s="1"/>
  <c r="BF9"/>
  <c r="BD9" s="1"/>
  <c r="AV9"/>
  <c r="AW9" s="1"/>
  <c r="AE9"/>
  <c r="AC9" s="1"/>
  <c r="W9"/>
  <c r="U9"/>
  <c r="V9" s="1"/>
  <c r="D9"/>
  <c r="B9" s="1"/>
  <c r="BW8"/>
  <c r="BX8" s="1"/>
  <c r="BF8"/>
  <c r="BD8" s="1"/>
  <c r="AX8"/>
  <c r="AV8"/>
  <c r="AW8" s="1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/>
  <c r="B7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43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W20"/>
  <c r="V20"/>
  <c r="U20"/>
  <c r="D20"/>
  <c r="B20" s="1"/>
  <c r="BW19"/>
  <c r="BX19" s="1"/>
  <c r="BF19"/>
  <c r="BD19" s="1"/>
  <c r="AX19"/>
  <c r="AW19"/>
  <c r="AV19"/>
  <c r="AE19"/>
  <c r="AC19" s="1"/>
  <c r="U19"/>
  <c r="V19" s="1"/>
  <c r="D19"/>
  <c r="B19" s="1"/>
  <c r="BY18"/>
  <c r="BX18"/>
  <c r="BW18"/>
  <c r="BF18"/>
  <c r="BD18" s="1"/>
  <c r="AV18"/>
  <c r="AW18" s="1"/>
  <c r="AE18"/>
  <c r="AC18" s="1"/>
  <c r="U18"/>
  <c r="V18" s="1"/>
  <c r="D18"/>
  <c r="B18" s="1"/>
  <c r="BW17"/>
  <c r="BX17" s="1"/>
  <c r="BF17"/>
  <c r="BD17" s="1"/>
  <c r="AX17"/>
  <c r="AW17"/>
  <c r="AV17"/>
  <c r="AE17"/>
  <c r="AC17" s="1"/>
  <c r="U17"/>
  <c r="V17" s="1"/>
  <c r="D17"/>
  <c r="B17" s="1"/>
  <c r="BY16"/>
  <c r="BX16"/>
  <c r="BW16"/>
  <c r="BF16"/>
  <c r="BD16" s="1"/>
  <c r="AV16"/>
  <c r="AW16" s="1"/>
  <c r="AE16"/>
  <c r="AC16" s="1"/>
  <c r="U16"/>
  <c r="W16" s="1"/>
  <c r="D16"/>
  <c r="B16" s="1"/>
  <c r="BW15"/>
  <c r="BX15" s="1"/>
  <c r="BF15"/>
  <c r="BD15" s="1"/>
  <c r="AX15"/>
  <c r="AW15"/>
  <c r="AV15"/>
  <c r="AE15"/>
  <c r="AC15" s="1"/>
  <c r="U15"/>
  <c r="V15" s="1"/>
  <c r="D15"/>
  <c r="B15" s="1"/>
  <c r="BY14"/>
  <c r="BX14"/>
  <c r="BW14"/>
  <c r="BF14"/>
  <c r="BD14" s="1"/>
  <c r="AV14"/>
  <c r="AW14" s="1"/>
  <c r="AE14"/>
  <c r="AC14" s="1"/>
  <c r="U14"/>
  <c r="V14" s="1"/>
  <c r="D14"/>
  <c r="B14" s="1"/>
  <c r="BW13"/>
  <c r="BX13" s="1"/>
  <c r="BF13"/>
  <c r="BD13" s="1"/>
  <c r="AX13"/>
  <c r="AW13"/>
  <c r="AV13"/>
  <c r="AE13"/>
  <c r="AC13" s="1"/>
  <c r="U13"/>
  <c r="V13" s="1"/>
  <c r="D13"/>
  <c r="B13" s="1"/>
  <c r="BY12"/>
  <c r="BX12"/>
  <c r="BW12"/>
  <c r="BF12"/>
  <c r="BD12" s="1"/>
  <c r="AV12"/>
  <c r="AW12" s="1"/>
  <c r="AE12"/>
  <c r="AC12" s="1"/>
  <c r="U12"/>
  <c r="V12" s="1"/>
  <c r="D12"/>
  <c r="B12" s="1"/>
  <c r="BW11"/>
  <c r="BX11" s="1"/>
  <c r="BF11"/>
  <c r="BD11" s="1"/>
  <c r="AX11"/>
  <c r="AW11"/>
  <c r="AV11"/>
  <c r="AE11"/>
  <c r="AC11" s="1"/>
  <c r="U11"/>
  <c r="V11" s="1"/>
  <c r="D11"/>
  <c r="B11" s="1"/>
  <c r="BY10"/>
  <c r="BX10"/>
  <c r="BW10"/>
  <c r="BF10"/>
  <c r="BE10" s="1"/>
  <c r="AV10"/>
  <c r="AW10" s="1"/>
  <c r="AE10"/>
  <c r="AC10" s="1"/>
  <c r="U10"/>
  <c r="V10" s="1"/>
  <c r="D10"/>
  <c r="C10" s="1"/>
  <c r="BW9"/>
  <c r="BX9" s="1"/>
  <c r="BF9"/>
  <c r="BD9" s="1"/>
  <c r="AX9"/>
  <c r="AW9"/>
  <c r="AV9"/>
  <c r="AE9"/>
  <c r="AC9" s="1"/>
  <c r="U9"/>
  <c r="V9" s="1"/>
  <c r="D9"/>
  <c r="B9" s="1"/>
  <c r="BY8"/>
  <c r="BX8"/>
  <c r="BW8"/>
  <c r="BF8"/>
  <c r="BE8"/>
  <c r="BD8"/>
  <c r="AV8"/>
  <c r="AW8" s="1"/>
  <c r="AE8"/>
  <c r="AC8" s="1"/>
  <c r="W8"/>
  <c r="V8"/>
  <c r="U8"/>
  <c r="D8"/>
  <c r="C8"/>
  <c r="B8"/>
  <c r="BW7"/>
  <c r="BX7" s="1"/>
  <c r="BF7"/>
  <c r="BD7" s="1"/>
  <c r="AX7"/>
  <c r="AW7"/>
  <c r="AV7"/>
  <c r="AE7"/>
  <c r="AD7"/>
  <c r="AC7"/>
  <c r="U7"/>
  <c r="V7" s="1"/>
  <c r="D7"/>
  <c r="B7" s="1"/>
  <c r="BY6"/>
  <c r="BX6"/>
  <c r="BW6"/>
  <c r="BF6"/>
  <c r="BE6"/>
  <c r="BD6"/>
  <c r="AV6"/>
  <c r="AW6" s="1"/>
  <c r="AE6"/>
  <c r="AC6" s="1"/>
  <c r="W6"/>
  <c r="V6"/>
  <c r="U6"/>
  <c r="D6"/>
  <c r="C6"/>
  <c r="B6"/>
  <c r="BW5"/>
  <c r="BX5" s="1"/>
  <c r="BF5"/>
  <c r="BD5" s="1"/>
  <c r="AX5"/>
  <c r="AW5"/>
  <c r="AV5"/>
  <c r="AE5"/>
  <c r="AD5"/>
  <c r="AC5"/>
  <c r="U5"/>
  <c r="V5" s="1"/>
  <c r="D5"/>
  <c r="B5" s="1"/>
  <c r="BV22" i="4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X20"/>
  <c r="AW20"/>
  <c r="AV20"/>
  <c r="AE20"/>
  <c r="AC20" s="1"/>
  <c r="V20"/>
  <c r="U20"/>
  <c r="W20" s="1"/>
  <c r="D20"/>
  <c r="C20" s="1"/>
  <c r="B20"/>
  <c r="BY19"/>
  <c r="BX19"/>
  <c r="BW19"/>
  <c r="BF19"/>
  <c r="BD19" s="1"/>
  <c r="AW19"/>
  <c r="AV19"/>
  <c r="AX19" s="1"/>
  <c r="AE19"/>
  <c r="AD19" s="1"/>
  <c r="W19"/>
  <c r="V19"/>
  <c r="U19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18"/>
  <c r="BY17"/>
  <c r="BX17"/>
  <c r="BW17"/>
  <c r="BF17"/>
  <c r="BD17" s="1"/>
  <c r="AW17"/>
  <c r="AV17"/>
  <c r="AX17" s="1"/>
  <c r="AE17"/>
  <c r="AD17" s="1"/>
  <c r="W17"/>
  <c r="V17"/>
  <c r="U17"/>
  <c r="D17"/>
  <c r="B17" s="1"/>
  <c r="BX16"/>
  <c r="BW16"/>
  <c r="BY16" s="1"/>
  <c r="BF16"/>
  <c r="BE16" s="1"/>
  <c r="AX16"/>
  <c r="AV16"/>
  <c r="AW16" s="1"/>
  <c r="AE16"/>
  <c r="AC16" s="1"/>
  <c r="V16"/>
  <c r="U16"/>
  <c r="W16" s="1"/>
  <c r="D16"/>
  <c r="C16" s="1"/>
  <c r="BY15"/>
  <c r="BX15"/>
  <c r="BW15"/>
  <c r="BF15"/>
  <c r="BD15" s="1"/>
  <c r="AW15"/>
  <c r="AV15"/>
  <c r="AX15" s="1"/>
  <c r="AE15"/>
  <c r="AD15" s="1"/>
  <c r="W15"/>
  <c r="V15"/>
  <c r="U15"/>
  <c r="D15"/>
  <c r="B15" s="1"/>
  <c r="BX14"/>
  <c r="BW14"/>
  <c r="BY14" s="1"/>
  <c r="BF14"/>
  <c r="BE14" s="1"/>
  <c r="AX14"/>
  <c r="AW14"/>
  <c r="AV14"/>
  <c r="AE14"/>
  <c r="AC14" s="1"/>
  <c r="V14"/>
  <c r="U14"/>
  <c r="W14" s="1"/>
  <c r="D14"/>
  <c r="C14" s="1"/>
  <c r="B14"/>
  <c r="BY13"/>
  <c r="BX13"/>
  <c r="BW13"/>
  <c r="BF13"/>
  <c r="BD13" s="1"/>
  <c r="AW13"/>
  <c r="AV13"/>
  <c r="AX13" s="1"/>
  <c r="AE13"/>
  <c r="AD13" s="1"/>
  <c r="W13"/>
  <c r="V13"/>
  <c r="U13"/>
  <c r="D13"/>
  <c r="B13" s="1"/>
  <c r="BX12"/>
  <c r="BW12"/>
  <c r="BY12" s="1"/>
  <c r="BF12"/>
  <c r="BE12" s="1"/>
  <c r="AX12"/>
  <c r="AW12"/>
  <c r="AV12"/>
  <c r="AE12"/>
  <c r="AC12" s="1"/>
  <c r="V12"/>
  <c r="U12"/>
  <c r="W12" s="1"/>
  <c r="D12"/>
  <c r="C12" s="1"/>
  <c r="BY11"/>
  <c r="BX11"/>
  <c r="BW11"/>
  <c r="BF11"/>
  <c r="BD11" s="1"/>
  <c r="AW11"/>
  <c r="AV11"/>
  <c r="AX11" s="1"/>
  <c r="AE11"/>
  <c r="AD11" s="1"/>
  <c r="W11"/>
  <c r="V11"/>
  <c r="U11"/>
  <c r="D11"/>
  <c r="B11" s="1"/>
  <c r="BX10"/>
  <c r="BW10"/>
  <c r="BY10" s="1"/>
  <c r="BF10"/>
  <c r="BE10" s="1"/>
  <c r="AX10"/>
  <c r="AW10"/>
  <c r="AV10"/>
  <c r="AE10"/>
  <c r="AC10" s="1"/>
  <c r="V10"/>
  <c r="U10"/>
  <c r="W10" s="1"/>
  <c r="D10"/>
  <c r="C10" s="1"/>
  <c r="B10"/>
  <c r="BY9"/>
  <c r="BX9"/>
  <c r="BW9"/>
  <c r="BF9"/>
  <c r="BD9" s="1"/>
  <c r="AW9"/>
  <c r="AV9"/>
  <c r="AX9" s="1"/>
  <c r="AE9"/>
  <c r="AD9" s="1"/>
  <c r="W9"/>
  <c r="V9"/>
  <c r="U9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E5" s="1"/>
  <c r="AW5"/>
  <c r="AV5"/>
  <c r="AX5" s="1"/>
  <c r="AE5"/>
  <c r="AD5" s="1"/>
  <c r="AC5"/>
  <c r="W5"/>
  <c r="V5"/>
  <c r="U5"/>
  <c r="D5"/>
  <c r="C5" s="1"/>
  <c r="BV22" i="4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W20"/>
  <c r="AV20"/>
  <c r="AX20" s="1"/>
  <c r="AE20"/>
  <c r="AC20" s="1"/>
  <c r="V20"/>
  <c r="U20"/>
  <c r="W20" s="1"/>
  <c r="D20"/>
  <c r="C20" s="1"/>
  <c r="BX19"/>
  <c r="BW19"/>
  <c r="BY19" s="1"/>
  <c r="BF19"/>
  <c r="BD19" s="1"/>
  <c r="AW19"/>
  <c r="AV19"/>
  <c r="AX19" s="1"/>
  <c r="AE19"/>
  <c r="AD19" s="1"/>
  <c r="W19"/>
  <c r="V19"/>
  <c r="U19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W17"/>
  <c r="AV17"/>
  <c r="AX17" s="1"/>
  <c r="AE17"/>
  <c r="AD17" s="1"/>
  <c r="W17"/>
  <c r="V17"/>
  <c r="U17"/>
  <c r="D17"/>
  <c r="B17" s="1"/>
  <c r="BX16"/>
  <c r="BW16"/>
  <c r="BY16" s="1"/>
  <c r="BF16"/>
  <c r="BE16" s="1"/>
  <c r="AX16"/>
  <c r="AW16"/>
  <c r="AV16"/>
  <c r="AE16"/>
  <c r="AC16" s="1"/>
  <c r="V16"/>
  <c r="U16"/>
  <c r="W16" s="1"/>
  <c r="D16"/>
  <c r="C16" s="1"/>
  <c r="BY15"/>
  <c r="BX15"/>
  <c r="BW15"/>
  <c r="BF15"/>
  <c r="BD15" s="1"/>
  <c r="AW15"/>
  <c r="AV15"/>
  <c r="AX15" s="1"/>
  <c r="AE15"/>
  <c r="AD15" s="1"/>
  <c r="W15"/>
  <c r="V15"/>
  <c r="U15"/>
  <c r="D15"/>
  <c r="B15" s="1"/>
  <c r="BX14"/>
  <c r="BW14"/>
  <c r="BY14" s="1"/>
  <c r="BF14"/>
  <c r="BE14" s="1"/>
  <c r="AX14"/>
  <c r="AW14"/>
  <c r="AV14"/>
  <c r="AE14"/>
  <c r="AC14" s="1"/>
  <c r="V14"/>
  <c r="U14"/>
  <c r="W14" s="1"/>
  <c r="D14"/>
  <c r="C14" s="1"/>
  <c r="BY13"/>
  <c r="BX13"/>
  <c r="BW13"/>
  <c r="BF13"/>
  <c r="BD13" s="1"/>
  <c r="AW13"/>
  <c r="AV13"/>
  <c r="AX13" s="1"/>
  <c r="AE13"/>
  <c r="AD13" s="1"/>
  <c r="W13"/>
  <c r="V13"/>
  <c r="U13"/>
  <c r="D13"/>
  <c r="B13" s="1"/>
  <c r="BX12"/>
  <c r="BW12"/>
  <c r="BY12" s="1"/>
  <c r="BF12"/>
  <c r="BE12" s="1"/>
  <c r="AX12"/>
  <c r="AW12"/>
  <c r="AV12"/>
  <c r="AE12"/>
  <c r="AC12" s="1"/>
  <c r="V12"/>
  <c r="U12"/>
  <c r="W12" s="1"/>
  <c r="D12"/>
  <c r="C12" s="1"/>
  <c r="BY11"/>
  <c r="BX11"/>
  <c r="BW11"/>
  <c r="BF11"/>
  <c r="BD11" s="1"/>
  <c r="AW11"/>
  <c r="AV11"/>
  <c r="AX11" s="1"/>
  <c r="AE11"/>
  <c r="AD11" s="1"/>
  <c r="W11"/>
  <c r="V11"/>
  <c r="U11"/>
  <c r="D11"/>
  <c r="B11" s="1"/>
  <c r="BX10"/>
  <c r="BW10"/>
  <c r="BY10" s="1"/>
  <c r="BF10"/>
  <c r="BE10" s="1"/>
  <c r="AX10"/>
  <c r="AW10"/>
  <c r="AV10"/>
  <c r="AE10"/>
  <c r="AC10" s="1"/>
  <c r="V10"/>
  <c r="U10"/>
  <c r="W10" s="1"/>
  <c r="D10"/>
  <c r="C10" s="1"/>
  <c r="BY9"/>
  <c r="BX9"/>
  <c r="BW9"/>
  <c r="BF9"/>
  <c r="BD9" s="1"/>
  <c r="AW9"/>
  <c r="AV9"/>
  <c r="AX9" s="1"/>
  <c r="AE9"/>
  <c r="AD9" s="1"/>
  <c r="W9"/>
  <c r="V9"/>
  <c r="U9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AC5"/>
  <c r="W5"/>
  <c r="V5"/>
  <c r="U5"/>
  <c r="D5"/>
  <c r="B5" s="1"/>
  <c r="BV22" i="40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E20"/>
  <c r="BD20"/>
  <c r="AV20"/>
  <c r="AW20" s="1"/>
  <c r="AE20"/>
  <c r="AC20" s="1"/>
  <c r="W20"/>
  <c r="V20"/>
  <c r="U20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AV18"/>
  <c r="AW18" s="1"/>
  <c r="AE18"/>
  <c r="AC18" s="1"/>
  <c r="W18"/>
  <c r="V18"/>
  <c r="U18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V16"/>
  <c r="AW16" s="1"/>
  <c r="AE16"/>
  <c r="AC16" s="1"/>
  <c r="W16"/>
  <c r="V16"/>
  <c r="U16"/>
  <c r="D16"/>
  <c r="B16" s="1"/>
  <c r="BW15"/>
  <c r="BX15" s="1"/>
  <c r="BF15"/>
  <c r="BD15" s="1"/>
  <c r="AV15"/>
  <c r="AX15" s="1"/>
  <c r="AE15"/>
  <c r="AD15" s="1"/>
  <c r="U15"/>
  <c r="V15" s="1"/>
  <c r="D15"/>
  <c r="B15" s="1"/>
  <c r="BW14"/>
  <c r="BY14" s="1"/>
  <c r="BF14"/>
  <c r="BE14" s="1"/>
  <c r="AV14"/>
  <c r="AW14" s="1"/>
  <c r="AE14"/>
  <c r="AC14" s="1"/>
  <c r="W14"/>
  <c r="V14"/>
  <c r="U14"/>
  <c r="D14"/>
  <c r="C14" s="1"/>
  <c r="BW13"/>
  <c r="BX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V12"/>
  <c r="AW12" s="1"/>
  <c r="AE12"/>
  <c r="AC12" s="1"/>
  <c r="W12"/>
  <c r="V12"/>
  <c r="U12"/>
  <c r="D12"/>
  <c r="B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AV10"/>
  <c r="AW10" s="1"/>
  <c r="AE10"/>
  <c r="AC10" s="1"/>
  <c r="W10"/>
  <c r="V10"/>
  <c r="U10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V8"/>
  <c r="AW8" s="1"/>
  <c r="AE8"/>
  <c r="AC8" s="1"/>
  <c r="W8"/>
  <c r="V8"/>
  <c r="U8"/>
  <c r="D8"/>
  <c r="B8" s="1"/>
  <c r="BW7"/>
  <c r="BX7" s="1"/>
  <c r="BF7"/>
  <c r="BD7" s="1"/>
  <c r="AV7"/>
  <c r="AX7" s="1"/>
  <c r="AE7"/>
  <c r="AD7" s="1"/>
  <c r="U7"/>
  <c r="V7" s="1"/>
  <c r="D7"/>
  <c r="B7" s="1"/>
  <c r="BW6"/>
  <c r="BY6" s="1"/>
  <c r="BF6"/>
  <c r="BE6" s="1"/>
  <c r="AV6"/>
  <c r="AW6" s="1"/>
  <c r="AE6"/>
  <c r="AC6" s="1"/>
  <c r="W6"/>
  <c r="V6"/>
  <c r="U6"/>
  <c r="D6"/>
  <c r="C6" s="1"/>
  <c r="BW5"/>
  <c r="BX5" s="1"/>
  <c r="BF5"/>
  <c r="BD5" s="1"/>
  <c r="AV5"/>
  <c r="AX5" s="1"/>
  <c r="AE5"/>
  <c r="AD5" s="1"/>
  <c r="U5"/>
  <c r="V5" s="1"/>
  <c r="D5"/>
  <c r="B5" s="1"/>
  <c r="BV22" i="39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V20"/>
  <c r="AX20" s="1"/>
  <c r="AE20"/>
  <c r="AC20" s="1"/>
  <c r="U20"/>
  <c r="W20" s="1"/>
  <c r="D20"/>
  <c r="C20" s="1"/>
  <c r="BY19"/>
  <c r="BX19"/>
  <c r="BW19"/>
  <c r="BF19"/>
  <c r="BD19" s="1"/>
  <c r="AV19"/>
  <c r="AX19" s="1"/>
  <c r="AE19"/>
  <c r="AD19" s="1"/>
  <c r="U19"/>
  <c r="W19" s="1"/>
  <c r="D19"/>
  <c r="B19" s="1"/>
  <c r="BW18"/>
  <c r="BY18" s="1"/>
  <c r="BF18"/>
  <c r="BE18" s="1"/>
  <c r="AV18"/>
  <c r="AW18" s="1"/>
  <c r="AE18"/>
  <c r="AC18" s="1"/>
  <c r="U18"/>
  <c r="W18" s="1"/>
  <c r="D18"/>
  <c r="C18" s="1"/>
  <c r="BX17"/>
  <c r="BW17"/>
  <c r="BY17" s="1"/>
  <c r="BF17"/>
  <c r="BD17" s="1"/>
  <c r="AV17"/>
  <c r="AX17" s="1"/>
  <c r="AE17"/>
  <c r="AD17" s="1"/>
  <c r="U17"/>
  <c r="W17" s="1"/>
  <c r="D17"/>
  <c r="B17" s="1"/>
  <c r="BW16"/>
  <c r="BY16" s="1"/>
  <c r="BF16"/>
  <c r="BE16" s="1"/>
  <c r="AV16"/>
  <c r="AW16" s="1"/>
  <c r="AE16"/>
  <c r="AC16" s="1"/>
  <c r="U16"/>
  <c r="W16" s="1"/>
  <c r="D16"/>
  <c r="C16" s="1"/>
  <c r="BY15"/>
  <c r="BX15"/>
  <c r="BW15"/>
  <c r="BF15"/>
  <c r="BD15" s="1"/>
  <c r="AV15"/>
  <c r="AX15" s="1"/>
  <c r="AE15"/>
  <c r="AD15" s="1"/>
  <c r="U15"/>
  <c r="W15" s="1"/>
  <c r="D15"/>
  <c r="B15" s="1"/>
  <c r="BW14"/>
  <c r="BY14" s="1"/>
  <c r="BF14"/>
  <c r="BE14" s="1"/>
  <c r="AV14"/>
  <c r="AW14" s="1"/>
  <c r="AE14"/>
  <c r="AC14" s="1"/>
  <c r="U14"/>
  <c r="W14" s="1"/>
  <c r="D14"/>
  <c r="C14" s="1"/>
  <c r="BX13"/>
  <c r="BW13"/>
  <c r="BY13" s="1"/>
  <c r="BF13"/>
  <c r="BD13" s="1"/>
  <c r="AV13"/>
  <c r="AX13" s="1"/>
  <c r="AE13"/>
  <c r="AD13" s="1"/>
  <c r="U13"/>
  <c r="W13" s="1"/>
  <c r="D13"/>
  <c r="B13" s="1"/>
  <c r="BW12"/>
  <c r="BY12" s="1"/>
  <c r="BF12"/>
  <c r="BE12" s="1"/>
  <c r="AV12"/>
  <c r="AW12" s="1"/>
  <c r="AE12"/>
  <c r="AC12" s="1"/>
  <c r="U12"/>
  <c r="W12" s="1"/>
  <c r="D12"/>
  <c r="C12" s="1"/>
  <c r="BY11"/>
  <c r="BX11"/>
  <c r="BW11"/>
  <c r="BF11"/>
  <c r="BD11" s="1"/>
  <c r="AV11"/>
  <c r="AX11" s="1"/>
  <c r="AE11"/>
  <c r="AD11" s="1"/>
  <c r="U11"/>
  <c r="W11" s="1"/>
  <c r="D11"/>
  <c r="B11" s="1"/>
  <c r="BX10"/>
  <c r="BW10"/>
  <c r="BY10" s="1"/>
  <c r="BF10"/>
  <c r="BE10" s="1"/>
  <c r="AV10"/>
  <c r="AW10" s="1"/>
  <c r="AE10"/>
  <c r="AC10" s="1"/>
  <c r="U10"/>
  <c r="W10" s="1"/>
  <c r="D10"/>
  <c r="C10" s="1"/>
  <c r="BW9"/>
  <c r="BX9" s="1"/>
  <c r="BF9"/>
  <c r="BD9" s="1"/>
  <c r="AV9"/>
  <c r="AX9" s="1"/>
  <c r="AE9"/>
  <c r="AD9" s="1"/>
  <c r="U9"/>
  <c r="W9" s="1"/>
  <c r="D9"/>
  <c r="B9" s="1"/>
  <c r="BW8"/>
  <c r="BY8" s="1"/>
  <c r="BF8"/>
  <c r="BE8" s="1"/>
  <c r="AV8"/>
  <c r="AW8" s="1"/>
  <c r="AE8"/>
  <c r="AC8" s="1"/>
  <c r="U8"/>
  <c r="W8" s="1"/>
  <c r="D8"/>
  <c r="C8" s="1"/>
  <c r="BX7"/>
  <c r="BW7"/>
  <c r="BY7" s="1"/>
  <c r="BF7"/>
  <c r="BD7" s="1"/>
  <c r="AV7"/>
  <c r="AX7" s="1"/>
  <c r="AE7"/>
  <c r="AD7" s="1"/>
  <c r="U7"/>
  <c r="W7" s="1"/>
  <c r="D7"/>
  <c r="B7" s="1"/>
  <c r="BX6"/>
  <c r="BW6"/>
  <c r="BY6" s="1"/>
  <c r="BF6"/>
  <c r="BE6" s="1"/>
  <c r="AV6"/>
  <c r="AW6" s="1"/>
  <c r="AE6"/>
  <c r="AC6" s="1"/>
  <c r="U6"/>
  <c r="W6" s="1"/>
  <c r="D6"/>
  <c r="C6" s="1"/>
  <c r="BY5"/>
  <c r="BW5"/>
  <c r="BX5" s="1"/>
  <c r="BF5"/>
  <c r="BE5" s="1"/>
  <c r="AV5"/>
  <c r="AX5" s="1"/>
  <c r="AE5"/>
  <c r="AD5" s="1"/>
  <c r="U5"/>
  <c r="W5" s="1"/>
  <c r="D5"/>
  <c r="C5" s="1"/>
  <c r="BV22" i="38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U22" s="1"/>
  <c r="BW20"/>
  <c r="BY20" s="1"/>
  <c r="BF20"/>
  <c r="BE20" s="1"/>
  <c r="BD20"/>
  <c r="AV20"/>
  <c r="AW20" s="1"/>
  <c r="AE20"/>
  <c r="AC20" s="1"/>
  <c r="U20"/>
  <c r="W20" s="1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BD18"/>
  <c r="AX18"/>
  <c r="AV18"/>
  <c r="AW18" s="1"/>
  <c r="AE18"/>
  <c r="AC18" s="1"/>
  <c r="U18"/>
  <c r="W18" s="1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X16"/>
  <c r="AV16"/>
  <c r="AW16" s="1"/>
  <c r="AE16"/>
  <c r="AC16" s="1"/>
  <c r="U16"/>
  <c r="W16" s="1"/>
  <c r="D16"/>
  <c r="C16" s="1"/>
  <c r="BY15"/>
  <c r="BX15"/>
  <c r="BW15"/>
  <c r="BF15"/>
  <c r="BD15" s="1"/>
  <c r="AV15"/>
  <c r="AX15" s="1"/>
  <c r="AE15"/>
  <c r="AD15" s="1"/>
  <c r="U15"/>
  <c r="V15" s="1"/>
  <c r="D15"/>
  <c r="B15" s="1"/>
  <c r="BW14"/>
  <c r="BY14" s="1"/>
  <c r="BF14"/>
  <c r="BE14" s="1"/>
  <c r="BD14"/>
  <c r="AX14"/>
  <c r="AV14"/>
  <c r="AW14" s="1"/>
  <c r="AE14"/>
  <c r="AC14" s="1"/>
  <c r="U14"/>
  <c r="W14" s="1"/>
  <c r="D14"/>
  <c r="C14" s="1"/>
  <c r="BY13"/>
  <c r="BW13"/>
  <c r="BX13" s="1"/>
  <c r="BF13"/>
  <c r="BD13" s="1"/>
  <c r="AV13"/>
  <c r="AX13" s="1"/>
  <c r="AE13"/>
  <c r="AD13" s="1"/>
  <c r="U13"/>
  <c r="V13" s="1"/>
  <c r="D13"/>
  <c r="B13" s="1"/>
  <c r="BX12"/>
  <c r="BW12"/>
  <c r="BY12" s="1"/>
  <c r="BF12"/>
  <c r="BE12" s="1"/>
  <c r="BD12"/>
  <c r="AX12"/>
  <c r="AV12"/>
  <c r="AW12" s="1"/>
  <c r="AE12"/>
  <c r="AC12" s="1"/>
  <c r="U12"/>
  <c r="W12" s="1"/>
  <c r="D12"/>
  <c r="C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BD10"/>
  <c r="AX10"/>
  <c r="AV10"/>
  <c r="AW10" s="1"/>
  <c r="AE10"/>
  <c r="AC10" s="1"/>
  <c r="U10"/>
  <c r="W10" s="1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X8"/>
  <c r="AV8"/>
  <c r="AW8" s="1"/>
  <c r="AE8"/>
  <c r="AC8" s="1"/>
  <c r="U8"/>
  <c r="W8" s="1"/>
  <c r="D8"/>
  <c r="C8" s="1"/>
  <c r="BY7"/>
  <c r="BX7"/>
  <c r="BW7"/>
  <c r="BF7"/>
  <c r="BD7" s="1"/>
  <c r="AV7"/>
  <c r="AX7" s="1"/>
  <c r="AE7"/>
  <c r="AD7" s="1"/>
  <c r="V7"/>
  <c r="U7"/>
  <c r="W7" s="1"/>
  <c r="D7"/>
  <c r="B7" s="1"/>
  <c r="BX6"/>
  <c r="BW6"/>
  <c r="BY6" s="1"/>
  <c r="BF6"/>
  <c r="BE6" s="1"/>
  <c r="BD6"/>
  <c r="AV6"/>
  <c r="AW6" s="1"/>
  <c r="AE6"/>
  <c r="AC6" s="1"/>
  <c r="U6"/>
  <c r="W6" s="1"/>
  <c r="D6"/>
  <c r="C6" s="1"/>
  <c r="BY5"/>
  <c r="BW5"/>
  <c r="BX5" s="1"/>
  <c r="BF5"/>
  <c r="BD5" s="1"/>
  <c r="AW5"/>
  <c r="AV5"/>
  <c r="AX5" s="1"/>
  <c r="AE5"/>
  <c r="AD5" s="1"/>
  <c r="AC5"/>
  <c r="V5"/>
  <c r="U5"/>
  <c r="W5" s="1"/>
  <c r="D5"/>
  <c r="B5" s="1"/>
  <c r="BV22" i="3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V20"/>
  <c r="U20"/>
  <c r="W20" s="1"/>
  <c r="D20"/>
  <c r="C20" s="1"/>
  <c r="BX19"/>
  <c r="BW19"/>
  <c r="BY19" s="1"/>
  <c r="BF19"/>
  <c r="BD19" s="1"/>
  <c r="AV19"/>
  <c r="AX19" s="1"/>
  <c r="AE19"/>
  <c r="AD19" s="1"/>
  <c r="U19"/>
  <c r="W19" s="1"/>
  <c r="D19"/>
  <c r="B19" s="1"/>
  <c r="BW18"/>
  <c r="BY18" s="1"/>
  <c r="BF18"/>
  <c r="BE18" s="1"/>
  <c r="AW18"/>
  <c r="AV18"/>
  <c r="AX18" s="1"/>
  <c r="AE18"/>
  <c r="AC18" s="1"/>
  <c r="U18"/>
  <c r="W18" s="1"/>
  <c r="D18"/>
  <c r="C18" s="1"/>
  <c r="BW17"/>
  <c r="BY17" s="1"/>
  <c r="BF17"/>
  <c r="BD17" s="1"/>
  <c r="AV17"/>
  <c r="AX17" s="1"/>
  <c r="AE17"/>
  <c r="AD17" s="1"/>
  <c r="V17"/>
  <c r="U17"/>
  <c r="W17" s="1"/>
  <c r="D17"/>
  <c r="B17" s="1"/>
  <c r="BW16"/>
  <c r="BY16" s="1"/>
  <c r="BF16"/>
  <c r="BE16" s="1"/>
  <c r="AW16"/>
  <c r="AV16"/>
  <c r="AX16" s="1"/>
  <c r="AE16"/>
  <c r="AC16" s="1"/>
  <c r="V16"/>
  <c r="U16"/>
  <c r="W16" s="1"/>
  <c r="D16"/>
  <c r="C16" s="1"/>
  <c r="BW15"/>
  <c r="BY15" s="1"/>
  <c r="BF15"/>
  <c r="BD15" s="1"/>
  <c r="AV15"/>
  <c r="AX15" s="1"/>
  <c r="AE15"/>
  <c r="AD15" s="1"/>
  <c r="U15"/>
  <c r="W15" s="1"/>
  <c r="D15"/>
  <c r="B15" s="1"/>
  <c r="BX14"/>
  <c r="BW14"/>
  <c r="BY14" s="1"/>
  <c r="BF14"/>
  <c r="BE14" s="1"/>
  <c r="AW14"/>
  <c r="AV14"/>
  <c r="AX14" s="1"/>
  <c r="AE14"/>
  <c r="AC14" s="1"/>
  <c r="U14"/>
  <c r="W14" s="1"/>
  <c r="D14"/>
  <c r="C14" s="1"/>
  <c r="B14"/>
  <c r="BX13"/>
  <c r="BW13"/>
  <c r="BY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X12"/>
  <c r="AW12"/>
  <c r="AV12"/>
  <c r="AE12"/>
  <c r="AC12" s="1"/>
  <c r="V12"/>
  <c r="U12"/>
  <c r="W12" s="1"/>
  <c r="D12"/>
  <c r="C12" s="1"/>
  <c r="BW11"/>
  <c r="BY11" s="1"/>
  <c r="BF11"/>
  <c r="BD11" s="1"/>
  <c r="AV11"/>
  <c r="AX11" s="1"/>
  <c r="AE11"/>
  <c r="AD11" s="1"/>
  <c r="U11"/>
  <c r="V11" s="1"/>
  <c r="D11"/>
  <c r="B11" s="1"/>
  <c r="BX10"/>
  <c r="BW10"/>
  <c r="BY10" s="1"/>
  <c r="BF10"/>
  <c r="BE10" s="1"/>
  <c r="AX10"/>
  <c r="AV10"/>
  <c r="AW10" s="1"/>
  <c r="AE10"/>
  <c r="AC10" s="1"/>
  <c r="V10"/>
  <c r="U10"/>
  <c r="W10" s="1"/>
  <c r="D10"/>
  <c r="C10" s="1"/>
  <c r="BY9"/>
  <c r="BW9"/>
  <c r="BX9" s="1"/>
  <c r="BF9"/>
  <c r="BD9" s="1"/>
  <c r="AW9"/>
  <c r="AV9"/>
  <c r="AX9" s="1"/>
  <c r="AE9"/>
  <c r="AD9" s="1"/>
  <c r="AC9"/>
  <c r="U9"/>
  <c r="V9" s="1"/>
  <c r="D9"/>
  <c r="B9" s="1"/>
  <c r="BX8"/>
  <c r="BW8"/>
  <c r="BY8" s="1"/>
  <c r="BF8"/>
  <c r="BE8" s="1"/>
  <c r="AV8"/>
  <c r="AX8" s="1"/>
  <c r="AE8"/>
  <c r="AC8" s="1"/>
  <c r="V8"/>
  <c r="U8"/>
  <c r="W8" s="1"/>
  <c r="D8"/>
  <c r="C8" s="1"/>
  <c r="BX7"/>
  <c r="BW7"/>
  <c r="BY7" s="1"/>
  <c r="BF7"/>
  <c r="BD7" s="1"/>
  <c r="AW7"/>
  <c r="AV7"/>
  <c r="AX7" s="1"/>
  <c r="AE7"/>
  <c r="AD7" s="1"/>
  <c r="AC7"/>
  <c r="U7"/>
  <c r="V7" s="1"/>
  <c r="D7"/>
  <c r="B7" s="1"/>
  <c r="BW6"/>
  <c r="BY6" s="1"/>
  <c r="BF6"/>
  <c r="BE6" s="1"/>
  <c r="AW6"/>
  <c r="AV6"/>
  <c r="AX6" s="1"/>
  <c r="AE6"/>
  <c r="AC6" s="1"/>
  <c r="V6"/>
  <c r="U6"/>
  <c r="W6" s="1"/>
  <c r="D6"/>
  <c r="C6" s="1"/>
  <c r="BX5"/>
  <c r="BW5"/>
  <c r="BY5" s="1"/>
  <c r="BF5"/>
  <c r="BD5" s="1"/>
  <c r="AV5"/>
  <c r="AX5" s="1"/>
  <c r="AE5"/>
  <c r="AD5" s="1"/>
  <c r="U5"/>
  <c r="V5" s="1"/>
  <c r="D5"/>
  <c r="C5" s="1"/>
  <c r="BV22" i="3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U22" s="1"/>
  <c r="BW20"/>
  <c r="BX20" s="1"/>
  <c r="BF20"/>
  <c r="BD20" s="1"/>
  <c r="AV20"/>
  <c r="AW20" s="1"/>
  <c r="AE20"/>
  <c r="AC20" s="1"/>
  <c r="U20"/>
  <c r="V20" s="1"/>
  <c r="D20"/>
  <c r="B20" s="1"/>
  <c r="BW19"/>
  <c r="BY19" s="1"/>
  <c r="BF19"/>
  <c r="BE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Y17" s="1"/>
  <c r="BF17"/>
  <c r="BE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Y15" s="1"/>
  <c r="BF15"/>
  <c r="BE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Y13" s="1"/>
  <c r="BF13"/>
  <c r="BE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Y11" s="1"/>
  <c r="BF11"/>
  <c r="BE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Y9" s="1"/>
  <c r="BF9"/>
  <c r="BE9" s="1"/>
  <c r="AV9"/>
  <c r="AW9" s="1"/>
  <c r="AE9"/>
  <c r="AC9" s="1"/>
  <c r="U9"/>
  <c r="V9" s="1"/>
  <c r="D9"/>
  <c r="B9" s="1"/>
  <c r="BW8"/>
  <c r="BX8" s="1"/>
  <c r="BF8"/>
  <c r="BD8" s="1"/>
  <c r="AV8"/>
  <c r="AW8" s="1"/>
  <c r="AE8"/>
  <c r="AC8" s="1"/>
  <c r="U8"/>
  <c r="V8" s="1"/>
  <c r="D8"/>
  <c r="B8" s="1"/>
  <c r="BW7"/>
  <c r="BY7" s="1"/>
  <c r="BF7"/>
  <c r="BD7" s="1"/>
  <c r="AV7"/>
  <c r="AW7" s="1"/>
  <c r="AE7"/>
  <c r="AC7" s="1"/>
  <c r="W7"/>
  <c r="U7"/>
  <c r="V7" s="1"/>
  <c r="D7"/>
  <c r="B7" s="1"/>
  <c r="BW6"/>
  <c r="BX6" s="1"/>
  <c r="BF6"/>
  <c r="BD6" s="1"/>
  <c r="AW6"/>
  <c r="AV6"/>
  <c r="AX6" s="1"/>
  <c r="AE6"/>
  <c r="AD6" s="1"/>
  <c r="AC6"/>
  <c r="U6"/>
  <c r="V6" s="1"/>
  <c r="D6"/>
  <c r="B6" s="1"/>
  <c r="BY5"/>
  <c r="BX5"/>
  <c r="BW5"/>
  <c r="BF5"/>
  <c r="BD5" s="1"/>
  <c r="AV5"/>
  <c r="AW5" s="1"/>
  <c r="AE5"/>
  <c r="AC5" s="1"/>
  <c r="W5"/>
  <c r="U5"/>
  <c r="V5" s="1"/>
  <c r="D5"/>
  <c r="B5" s="1"/>
  <c r="AW19" i="39" l="1"/>
  <c r="AW9"/>
  <c r="BD18"/>
  <c r="BD8"/>
  <c r="BD16"/>
  <c r="BD12"/>
  <c r="BD14"/>
  <c r="AW11"/>
  <c r="AW13"/>
  <c r="AW7"/>
  <c r="AW15"/>
  <c r="AW17"/>
  <c r="AW5"/>
  <c r="AC17"/>
  <c r="AC19"/>
  <c r="AC15"/>
  <c r="AC13"/>
  <c r="V20"/>
  <c r="CP14" i="51"/>
  <c r="CT14"/>
  <c r="CX14"/>
  <c r="DB14"/>
  <c r="CO14"/>
  <c r="CS14"/>
  <c r="CW14"/>
  <c r="DA14"/>
  <c r="CR14"/>
  <c r="CV14"/>
  <c r="CZ14"/>
  <c r="CQ14"/>
  <c r="CU14"/>
  <c r="CY14"/>
  <c r="DC14"/>
  <c r="CP6"/>
  <c r="CT6"/>
  <c r="CX6"/>
  <c r="DB6"/>
  <c r="CO6"/>
  <c r="CS6"/>
  <c r="CW6"/>
  <c r="DA6"/>
  <c r="CR6"/>
  <c r="CV6"/>
  <c r="CZ6"/>
  <c r="CQ6"/>
  <c r="CU6"/>
  <c r="CY6"/>
  <c r="DC6"/>
  <c r="CP18"/>
  <c r="CT18"/>
  <c r="CX18"/>
  <c r="DB18"/>
  <c r="CO18"/>
  <c r="CS18"/>
  <c r="CW18"/>
  <c r="DA18"/>
  <c r="CN18"/>
  <c r="CR18"/>
  <c r="CV18"/>
  <c r="CZ18"/>
  <c r="CQ18"/>
  <c r="CU18"/>
  <c r="CY18"/>
  <c r="DC18"/>
  <c r="CP10"/>
  <c r="CT10"/>
  <c r="CX10"/>
  <c r="DB10"/>
  <c r="CO10"/>
  <c r="CS10"/>
  <c r="CW10"/>
  <c r="DA10"/>
  <c r="CR10"/>
  <c r="CV10"/>
  <c r="CZ10"/>
  <c r="CQ10"/>
  <c r="CU10"/>
  <c r="CY10"/>
  <c r="DC10"/>
  <c r="CP17"/>
  <c r="CT17"/>
  <c r="CX17"/>
  <c r="DB17"/>
  <c r="CO17"/>
  <c r="CS17"/>
  <c r="CW17"/>
  <c r="DA17"/>
  <c r="CN17"/>
  <c r="CR17"/>
  <c r="CV17"/>
  <c r="CZ17"/>
  <c r="CQ17"/>
  <c r="CU17"/>
  <c r="CY17"/>
  <c r="DC17"/>
  <c r="AA22"/>
  <c r="CK20"/>
  <c r="CM20" s="1"/>
  <c r="CP15"/>
  <c r="CT15"/>
  <c r="CX15"/>
  <c r="DB15"/>
  <c r="CO15"/>
  <c r="CS15"/>
  <c r="CW15"/>
  <c r="DA15"/>
  <c r="CR15"/>
  <c r="CV15"/>
  <c r="CZ15"/>
  <c r="CQ15"/>
  <c r="CU15"/>
  <c r="CY15"/>
  <c r="DC15"/>
  <c r="CP7"/>
  <c r="CT7"/>
  <c r="CX7"/>
  <c r="DB7"/>
  <c r="CO7"/>
  <c r="CS7"/>
  <c r="CW7"/>
  <c r="DA7"/>
  <c r="CR7"/>
  <c r="CV7"/>
  <c r="CZ7"/>
  <c r="CQ7"/>
  <c r="CU7"/>
  <c r="CY7"/>
  <c r="DC7"/>
  <c r="CP13"/>
  <c r="CT13"/>
  <c r="CX13"/>
  <c r="DB13"/>
  <c r="CO13"/>
  <c r="CS13"/>
  <c r="CW13"/>
  <c r="DA13"/>
  <c r="CR13"/>
  <c r="CV13"/>
  <c r="CZ13"/>
  <c r="CQ13"/>
  <c r="CU13"/>
  <c r="CY13"/>
  <c r="DC13"/>
  <c r="CP16"/>
  <c r="CT16"/>
  <c r="CX16"/>
  <c r="DB16"/>
  <c r="CO16"/>
  <c r="CS16"/>
  <c r="CW16"/>
  <c r="DA16"/>
  <c r="CR16"/>
  <c r="CV16"/>
  <c r="CZ16"/>
  <c r="CQ16"/>
  <c r="CU16"/>
  <c r="CY16"/>
  <c r="DC16"/>
  <c r="CP9"/>
  <c r="CT9"/>
  <c r="CX9"/>
  <c r="DB9"/>
  <c r="CO9"/>
  <c r="CS9"/>
  <c r="CW9"/>
  <c r="DA9"/>
  <c r="CR9"/>
  <c r="CV9"/>
  <c r="CZ9"/>
  <c r="CQ9"/>
  <c r="CU9"/>
  <c r="CY9"/>
  <c r="DC9"/>
  <c r="CP12"/>
  <c r="CT12"/>
  <c r="CX12"/>
  <c r="DB12"/>
  <c r="CO12"/>
  <c r="CS12"/>
  <c r="CW12"/>
  <c r="DA12"/>
  <c r="CR12"/>
  <c r="CV12"/>
  <c r="CZ12"/>
  <c r="CQ12"/>
  <c r="CU12"/>
  <c r="CY12"/>
  <c r="DC12"/>
  <c r="AA21"/>
  <c r="CK19"/>
  <c r="CM19" s="1"/>
  <c r="CP11"/>
  <c r="CT11"/>
  <c r="CX11"/>
  <c r="DB11"/>
  <c r="CO11"/>
  <c r="CS11"/>
  <c r="CW11"/>
  <c r="DA11"/>
  <c r="CR11"/>
  <c r="CV11"/>
  <c r="CZ11"/>
  <c r="CQ11"/>
  <c r="CU11"/>
  <c r="CY11"/>
  <c r="DC11"/>
  <c r="DA5"/>
  <c r="CQ5"/>
  <c r="CT5"/>
  <c r="CO5"/>
  <c r="DB5"/>
  <c r="CX5"/>
  <c r="CW5"/>
  <c r="CP5"/>
  <c r="DC5"/>
  <c r="CY5"/>
  <c r="CV5"/>
  <c r="CR5"/>
  <c r="CZ5"/>
  <c r="CU5"/>
  <c r="CS5"/>
  <c r="CN5"/>
  <c r="CP8"/>
  <c r="CT8"/>
  <c r="CX8"/>
  <c r="DB8"/>
  <c r="CO8"/>
  <c r="CS8"/>
  <c r="CW8"/>
  <c r="DA8"/>
  <c r="CR8"/>
  <c r="CV8"/>
  <c r="CZ8"/>
  <c r="CQ8"/>
  <c r="CU8"/>
  <c r="CY8"/>
  <c r="DC8"/>
  <c r="B24"/>
  <c r="A28" s="1"/>
  <c r="B25"/>
  <c r="A29" s="1"/>
  <c r="AC14" i="46"/>
  <c r="AD10"/>
  <c r="AD17"/>
  <c r="BE13"/>
  <c r="BE9"/>
  <c r="BW22"/>
  <c r="BX22" s="1"/>
  <c r="AV22"/>
  <c r="C11"/>
  <c r="C20"/>
  <c r="C19"/>
  <c r="C18"/>
  <c r="C17"/>
  <c r="B13"/>
  <c r="U22"/>
  <c r="V22" s="1"/>
  <c r="C9"/>
  <c r="BD12" i="45"/>
  <c r="BD18"/>
  <c r="BD20"/>
  <c r="BD14"/>
  <c r="BW22"/>
  <c r="BD16"/>
  <c r="BD10"/>
  <c r="AC15"/>
  <c r="AC17"/>
  <c r="AC13"/>
  <c r="AC11"/>
  <c r="AV22"/>
  <c r="B12"/>
  <c r="V10"/>
  <c r="V11"/>
  <c r="V12"/>
  <c r="V13"/>
  <c r="V14"/>
  <c r="V15"/>
  <c r="V16"/>
  <c r="W17"/>
  <c r="B18"/>
  <c r="B20"/>
  <c r="B14"/>
  <c r="B16"/>
  <c r="B10"/>
  <c r="U22"/>
  <c r="V22" s="1"/>
  <c r="BE9" i="44"/>
  <c r="BE18"/>
  <c r="BD19"/>
  <c r="BE20"/>
  <c r="BE17"/>
  <c r="BE16"/>
  <c r="BE15"/>
  <c r="BE14"/>
  <c r="BE13"/>
  <c r="BE12"/>
  <c r="BE10"/>
  <c r="BW22"/>
  <c r="BX22" s="1"/>
  <c r="BE11"/>
  <c r="AD18"/>
  <c r="AD19"/>
  <c r="AC20"/>
  <c r="AD13"/>
  <c r="AD14"/>
  <c r="AC12"/>
  <c r="AD15"/>
  <c r="AD16"/>
  <c r="AD17"/>
  <c r="AD11"/>
  <c r="AD10"/>
  <c r="AV22"/>
  <c r="AW22" s="1"/>
  <c r="AD9"/>
  <c r="C14"/>
  <c r="C13"/>
  <c r="C12"/>
  <c r="C11"/>
  <c r="C18"/>
  <c r="C19"/>
  <c r="C20"/>
  <c r="C9"/>
  <c r="C17"/>
  <c r="C15"/>
  <c r="C16"/>
  <c r="U22"/>
  <c r="V22" s="1"/>
  <c r="C10"/>
  <c r="BE20" i="43"/>
  <c r="BE18"/>
  <c r="BE14"/>
  <c r="BE12"/>
  <c r="BE16"/>
  <c r="BW22"/>
  <c r="BX22" s="1"/>
  <c r="BD10"/>
  <c r="AD9"/>
  <c r="AD17"/>
  <c r="AD19"/>
  <c r="AD15"/>
  <c r="AD13"/>
  <c r="AD11"/>
  <c r="AV22"/>
  <c r="AW22" s="1"/>
  <c r="V16"/>
  <c r="C14"/>
  <c r="W18"/>
  <c r="W14"/>
  <c r="W12"/>
  <c r="W10"/>
  <c r="C20"/>
  <c r="C18"/>
  <c r="C12"/>
  <c r="C16"/>
  <c r="B10"/>
  <c r="U22"/>
  <c r="V22" s="1"/>
  <c r="BD18" i="42"/>
  <c r="BD14"/>
  <c r="BD20"/>
  <c r="BD16"/>
  <c r="BD12"/>
  <c r="BD10"/>
  <c r="BW22"/>
  <c r="AC9"/>
  <c r="AC7"/>
  <c r="AC19"/>
  <c r="AC17"/>
  <c r="AC15"/>
  <c r="AC13"/>
  <c r="AC11"/>
  <c r="AV22"/>
  <c r="AW22" s="1"/>
  <c r="B12"/>
  <c r="B16"/>
  <c r="U22"/>
  <c r="BD18" i="41"/>
  <c r="BD10"/>
  <c r="BD16"/>
  <c r="BD14"/>
  <c r="BD12"/>
  <c r="BD20"/>
  <c r="BW22"/>
  <c r="BX22" s="1"/>
  <c r="BD20" i="37"/>
  <c r="BD12"/>
  <c r="BD18"/>
  <c r="BD16"/>
  <c r="BD6"/>
  <c r="BW22"/>
  <c r="B18"/>
  <c r="U22"/>
  <c r="V22" s="1"/>
  <c r="AC9" i="41"/>
  <c r="AC7"/>
  <c r="AC11"/>
  <c r="AC19"/>
  <c r="AC17"/>
  <c r="AC15"/>
  <c r="AC13"/>
  <c r="AV22"/>
  <c r="B20"/>
  <c r="B10"/>
  <c r="B18"/>
  <c r="B16"/>
  <c r="B14"/>
  <c r="B12"/>
  <c r="U22"/>
  <c r="V22" s="1"/>
  <c r="B6" i="40"/>
  <c r="B20"/>
  <c r="C8"/>
  <c r="B10"/>
  <c r="C12"/>
  <c r="B14"/>
  <c r="C16"/>
  <c r="B18"/>
  <c r="U22"/>
  <c r="V22" s="1"/>
  <c r="BD6"/>
  <c r="BX6"/>
  <c r="BD8"/>
  <c r="BX8"/>
  <c r="BD10"/>
  <c r="BX10"/>
  <c r="BD12"/>
  <c r="BX12"/>
  <c r="BD14"/>
  <c r="BX14"/>
  <c r="BD16"/>
  <c r="BX16"/>
  <c r="BD18"/>
  <c r="BX18"/>
  <c r="BY20"/>
  <c r="AC5"/>
  <c r="AW5"/>
  <c r="AC7"/>
  <c r="AW7"/>
  <c r="AC9"/>
  <c r="AW9"/>
  <c r="AC11"/>
  <c r="AW11"/>
  <c r="AC13"/>
  <c r="AW13"/>
  <c r="AC15"/>
  <c r="AW15"/>
  <c r="AC17"/>
  <c r="AW17"/>
  <c r="AC19"/>
  <c r="AW19"/>
  <c r="BD10" i="39"/>
  <c r="BX12"/>
  <c r="BX16"/>
  <c r="BY9"/>
  <c r="BD6"/>
  <c r="BX8"/>
  <c r="BX14"/>
  <c r="BX18"/>
  <c r="BD20"/>
  <c r="BW22"/>
  <c r="BX22" s="1"/>
  <c r="AX12"/>
  <c r="AX14"/>
  <c r="AX16"/>
  <c r="AX18"/>
  <c r="AW20"/>
  <c r="AX6"/>
  <c r="AX8"/>
  <c r="AX10"/>
  <c r="AC5"/>
  <c r="AC7"/>
  <c r="AC9"/>
  <c r="AC11"/>
  <c r="AV22"/>
  <c r="AW22" s="1"/>
  <c r="V5"/>
  <c r="V7"/>
  <c r="V9"/>
  <c r="V11"/>
  <c r="V13"/>
  <c r="V15"/>
  <c r="V17"/>
  <c r="V19"/>
  <c r="B8"/>
  <c r="B12"/>
  <c r="B14"/>
  <c r="B16"/>
  <c r="B18"/>
  <c r="B20"/>
  <c r="U22"/>
  <c r="V22" s="1"/>
  <c r="B6"/>
  <c r="B10"/>
  <c r="V6"/>
  <c r="V8"/>
  <c r="V10"/>
  <c r="V12"/>
  <c r="V14"/>
  <c r="V16"/>
  <c r="V18"/>
  <c r="BD24" i="47"/>
  <c r="BC28" s="1"/>
  <c r="E49" i="48" s="1"/>
  <c r="S49" s="1"/>
  <c r="AC24" i="47"/>
  <c r="AB28" s="1"/>
  <c r="E48" i="48" s="1"/>
  <c r="S48" s="1"/>
  <c r="B24" i="47"/>
  <c r="A28" s="1"/>
  <c r="E47" i="48" s="1"/>
  <c r="S47" s="1"/>
  <c r="BD8" i="38"/>
  <c r="BX10"/>
  <c r="BY11"/>
  <c r="BD16"/>
  <c r="BX18"/>
  <c r="BY19"/>
  <c r="BX20"/>
  <c r="BX8"/>
  <c r="BY9"/>
  <c r="BX16"/>
  <c r="BY17"/>
  <c r="BX14"/>
  <c r="AX20"/>
  <c r="AX6"/>
  <c r="AC7"/>
  <c r="AC9"/>
  <c r="AC11"/>
  <c r="AC13"/>
  <c r="AC15"/>
  <c r="AC17"/>
  <c r="AC19"/>
  <c r="AW7"/>
  <c r="AW9"/>
  <c r="AW11"/>
  <c r="AW13"/>
  <c r="AW15"/>
  <c r="AW17"/>
  <c r="AW19"/>
  <c r="B6"/>
  <c r="B8"/>
  <c r="V6"/>
  <c r="V8"/>
  <c r="W9"/>
  <c r="V10"/>
  <c r="W11"/>
  <c r="V12"/>
  <c r="W13"/>
  <c r="V14"/>
  <c r="W15"/>
  <c r="V16"/>
  <c r="W17"/>
  <c r="V18"/>
  <c r="W19"/>
  <c r="V20"/>
  <c r="B10"/>
  <c r="B12"/>
  <c r="B14"/>
  <c r="B16"/>
  <c r="B18"/>
  <c r="B20"/>
  <c r="BX11" i="37"/>
  <c r="BX12"/>
  <c r="BX15"/>
  <c r="BX18"/>
  <c r="BX20"/>
  <c r="BX6"/>
  <c r="BD8"/>
  <c r="BD10"/>
  <c r="BD14"/>
  <c r="BX16"/>
  <c r="BX17"/>
  <c r="AW8"/>
  <c r="AW11"/>
  <c r="AW15"/>
  <c r="AW17"/>
  <c r="AC19"/>
  <c r="AW20"/>
  <c r="AW19"/>
  <c r="AC5"/>
  <c r="AC13"/>
  <c r="AW5"/>
  <c r="AC11"/>
  <c r="AW13"/>
  <c r="AC15"/>
  <c r="AC17"/>
  <c r="B8"/>
  <c r="B10"/>
  <c r="B12"/>
  <c r="V15"/>
  <c r="B16"/>
  <c r="V18"/>
  <c r="W7"/>
  <c r="W9"/>
  <c r="W11"/>
  <c r="W13"/>
  <c r="B6"/>
  <c r="W5"/>
  <c r="V14"/>
  <c r="V19"/>
  <c r="B20"/>
  <c r="BE5" i="36"/>
  <c r="BE7"/>
  <c r="BX7"/>
  <c r="BD9"/>
  <c r="BX9"/>
  <c r="BD11"/>
  <c r="BX11"/>
  <c r="BD13"/>
  <c r="BX13"/>
  <c r="BD15"/>
  <c r="BX15"/>
  <c r="BD17"/>
  <c r="BX17"/>
  <c r="BD19"/>
  <c r="BX19"/>
  <c r="BW22"/>
  <c r="AD8"/>
  <c r="AX8"/>
  <c r="AD10"/>
  <c r="AX10"/>
  <c r="AD12"/>
  <c r="AX12"/>
  <c r="AD14"/>
  <c r="AX14"/>
  <c r="AD16"/>
  <c r="AX16"/>
  <c r="AD18"/>
  <c r="AX18"/>
  <c r="AD20"/>
  <c r="AX20"/>
  <c r="C5"/>
  <c r="C7"/>
  <c r="C9"/>
  <c r="W9"/>
  <c r="C11"/>
  <c r="W11"/>
  <c r="C13"/>
  <c r="W13"/>
  <c r="C15"/>
  <c r="W15"/>
  <c r="C17"/>
  <c r="W17"/>
  <c r="C19"/>
  <c r="W19"/>
  <c r="BD25" i="47"/>
  <c r="BC29" s="1"/>
  <c r="B25"/>
  <c r="A29" s="1"/>
  <c r="AC25"/>
  <c r="AB29" s="1"/>
  <c r="AW22" i="46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Y16"/>
  <c r="AX17"/>
  <c r="W18"/>
  <c r="BY18"/>
  <c r="AX19"/>
  <c r="W20"/>
  <c r="BY20"/>
  <c r="AW22" i="45"/>
  <c r="BX22"/>
  <c r="C5"/>
  <c r="BE5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C6" i="44"/>
  <c r="W6"/>
  <c r="AX7"/>
  <c r="C8"/>
  <c r="W8"/>
  <c r="BE8"/>
  <c r="BY8"/>
  <c r="AX9"/>
  <c r="W10"/>
  <c r="BY10"/>
  <c r="AX11"/>
  <c r="W12"/>
  <c r="BY12"/>
  <c r="AX13"/>
  <c r="W14"/>
  <c r="BY14"/>
  <c r="AX15"/>
  <c r="W16"/>
  <c r="BY16"/>
  <c r="AX17"/>
  <c r="W18"/>
  <c r="BY18"/>
  <c r="AX19"/>
  <c r="W20"/>
  <c r="BY20"/>
  <c r="AD5"/>
  <c r="AX5"/>
  <c r="BE6"/>
  <c r="BY6"/>
  <c r="AD7"/>
  <c r="BE5" i="43"/>
  <c r="BY5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C5"/>
  <c r="W5"/>
  <c r="AD6"/>
  <c r="BY20"/>
  <c r="V22" i="42"/>
  <c r="BX22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BD5"/>
  <c r="AW22" i="41"/>
  <c r="C5"/>
  <c r="BE5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AD6"/>
  <c r="AW22" i="40"/>
  <c r="BX22"/>
  <c r="C5"/>
  <c r="W5"/>
  <c r="BE5"/>
  <c r="BY5"/>
  <c r="AD6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AD6" i="39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BD5"/>
  <c r="C7"/>
  <c r="BE7"/>
  <c r="V22" i="38"/>
  <c r="AW22"/>
  <c r="AC25" s="1"/>
  <c r="AB29" s="1"/>
  <c r="BX22"/>
  <c r="C5"/>
  <c r="AD6"/>
  <c r="C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E7"/>
  <c r="BE5"/>
  <c r="AW22" i="37"/>
  <c r="BX22"/>
  <c r="BD25" s="1"/>
  <c r="BC29" s="1"/>
  <c r="BE5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V22" i="36"/>
  <c r="AW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V22" i="2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/>
  <c r="AC20"/>
  <c r="U20"/>
  <c r="V20" s="1"/>
  <c r="D20"/>
  <c r="B20" s="1"/>
  <c r="BW19"/>
  <c r="BY19" s="1"/>
  <c r="BF19"/>
  <c r="BE19"/>
  <c r="BD19"/>
  <c r="AV19"/>
  <c r="AW19" s="1"/>
  <c r="AE19"/>
  <c r="AC19" s="1"/>
  <c r="U19"/>
  <c r="V19" s="1"/>
  <c r="D19"/>
  <c r="B19" s="1"/>
  <c r="C19"/>
  <c r="BW18"/>
  <c r="BX18" s="1"/>
  <c r="BF18"/>
  <c r="BD18" s="1"/>
  <c r="AX18"/>
  <c r="AW18"/>
  <c r="AV18"/>
  <c r="AE18"/>
  <c r="AD18"/>
  <c r="AC18"/>
  <c r="U18"/>
  <c r="V18" s="1"/>
  <c r="D18"/>
  <c r="B18" s="1"/>
  <c r="BY17"/>
  <c r="BW17"/>
  <c r="BX17" s="1"/>
  <c r="BF17"/>
  <c r="BD17" s="1"/>
  <c r="AV17"/>
  <c r="AW17" s="1"/>
  <c r="AE17"/>
  <c r="AC17" s="1"/>
  <c r="U17"/>
  <c r="V17" s="1"/>
  <c r="D17"/>
  <c r="B17" s="1"/>
  <c r="C17"/>
  <c r="BW16"/>
  <c r="BX16" s="1"/>
  <c r="BF16"/>
  <c r="BD16" s="1"/>
  <c r="AX16"/>
  <c r="AV16"/>
  <c r="AW16" s="1"/>
  <c r="AE16"/>
  <c r="AC16" s="1"/>
  <c r="AD16"/>
  <c r="U16"/>
  <c r="V16" s="1"/>
  <c r="D16"/>
  <c r="B16" s="1"/>
  <c r="BY15"/>
  <c r="BX15"/>
  <c r="BW15"/>
  <c r="BF15"/>
  <c r="BE15"/>
  <c r="BD15"/>
  <c r="AV15"/>
  <c r="AW15" s="1"/>
  <c r="AE15"/>
  <c r="AC15" s="1"/>
  <c r="U15"/>
  <c r="V15" s="1"/>
  <c r="D15"/>
  <c r="B15" s="1"/>
  <c r="C15"/>
  <c r="BW14"/>
  <c r="BX14" s="1"/>
  <c r="BF14"/>
  <c r="BD14" s="1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Y1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Y9"/>
  <c r="BW9"/>
  <c r="BX9" s="1"/>
  <c r="BF9"/>
  <c r="BD9" s="1"/>
  <c r="AV9"/>
  <c r="AW9" s="1"/>
  <c r="AE9"/>
  <c r="AC9" s="1"/>
  <c r="W9"/>
  <c r="V9"/>
  <c r="U9"/>
  <c r="D9"/>
  <c r="B9" s="1"/>
  <c r="BW8"/>
  <c r="BX8" s="1"/>
  <c r="BF8"/>
  <c r="BD8" s="1"/>
  <c r="AW8"/>
  <c r="AV8"/>
  <c r="AX8" s="1"/>
  <c r="AE8"/>
  <c r="AD8"/>
  <c r="AC8"/>
  <c r="U8"/>
  <c r="V8" s="1"/>
  <c r="D8"/>
  <c r="B8" s="1"/>
  <c r="BY7"/>
  <c r="BW7"/>
  <c r="BX7" s="1"/>
  <c r="BF7"/>
  <c r="BD7" s="1"/>
  <c r="AV7"/>
  <c r="AW7" s="1"/>
  <c r="AE7"/>
  <c r="AC7" s="1"/>
  <c r="V7"/>
  <c r="U7"/>
  <c r="W7" s="1"/>
  <c r="D7"/>
  <c r="C7" s="1"/>
  <c r="B7"/>
  <c r="BW6"/>
  <c r="BX6" s="1"/>
  <c r="BF6"/>
  <c r="BD6" s="1"/>
  <c r="AX6"/>
  <c r="AV6"/>
  <c r="AW6" s="1"/>
  <c r="AE6"/>
  <c r="AD6" s="1"/>
  <c r="U6"/>
  <c r="V6" s="1"/>
  <c r="D6"/>
  <c r="B6" s="1"/>
  <c r="BY5"/>
  <c r="BX5"/>
  <c r="BW5"/>
  <c r="BF5"/>
  <c r="BE5"/>
  <c r="BD5"/>
  <c r="AV5"/>
  <c r="AW5" s="1"/>
  <c r="AE5"/>
  <c r="AC5" s="1"/>
  <c r="V5"/>
  <c r="U5"/>
  <c r="W5" s="1"/>
  <c r="D5"/>
  <c r="C5" s="1"/>
  <c r="B5"/>
  <c r="BV22" i="25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U7"/>
  <c r="V7" s="1"/>
  <c r="D7"/>
  <c r="B7" s="1"/>
  <c r="BW6"/>
  <c r="BX6" s="1"/>
  <c r="BF6"/>
  <c r="BD6" s="1"/>
  <c r="AV6"/>
  <c r="AW6" s="1"/>
  <c r="AE6"/>
  <c r="AC6" s="1"/>
  <c r="U6"/>
  <c r="V6" s="1"/>
  <c r="D6"/>
  <c r="B6" s="1"/>
  <c r="BW5"/>
  <c r="BX5" s="1"/>
  <c r="BF5"/>
  <c r="BD5" s="1"/>
  <c r="AV5"/>
  <c r="AW5" s="1"/>
  <c r="AE5"/>
  <c r="AC5" s="1"/>
  <c r="U5"/>
  <c r="V5" s="1"/>
  <c r="D5"/>
  <c r="B5" s="1"/>
  <c r="BV22" i="24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V19"/>
  <c r="U19"/>
  <c r="W19" s="1"/>
  <c r="D19"/>
  <c r="B19" s="1"/>
  <c r="BW18"/>
  <c r="BX18" s="1"/>
  <c r="BF18"/>
  <c r="BD18" s="1"/>
  <c r="AV18"/>
  <c r="AW18" s="1"/>
  <c r="AE18"/>
  <c r="AD18" s="1"/>
  <c r="AC18"/>
  <c r="U18"/>
  <c r="V18" s="1"/>
  <c r="D18"/>
  <c r="B18" s="1"/>
  <c r="BX17"/>
  <c r="BW17"/>
  <c r="BY17" s="1"/>
  <c r="BF17"/>
  <c r="BE17"/>
  <c r="BD17"/>
  <c r="AV17"/>
  <c r="AW17" s="1"/>
  <c r="AE17"/>
  <c r="AC17" s="1"/>
  <c r="V17"/>
  <c r="U17"/>
  <c r="W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Y15"/>
  <c r="BX15"/>
  <c r="BW15"/>
  <c r="BF15"/>
  <c r="BD15" s="1"/>
  <c r="BE15"/>
  <c r="AV15"/>
  <c r="AW15" s="1"/>
  <c r="AE15"/>
  <c r="AC15" s="1"/>
  <c r="V15"/>
  <c r="U15"/>
  <c r="W15" s="1"/>
  <c r="D15"/>
  <c r="B15" s="1"/>
  <c r="BW14"/>
  <c r="BX14" s="1"/>
  <c r="BF14"/>
  <c r="BD14" s="1"/>
  <c r="AV14"/>
  <c r="AW14" s="1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W12"/>
  <c r="AV12"/>
  <c r="AX12" s="1"/>
  <c r="AE12"/>
  <c r="AC12" s="1"/>
  <c r="U12"/>
  <c r="V12" s="1"/>
  <c r="D12"/>
  <c r="B12" s="1"/>
  <c r="BY11"/>
  <c r="BX11"/>
  <c r="BW11"/>
  <c r="BF11"/>
  <c r="BD11" s="1"/>
  <c r="BE11"/>
  <c r="AV11"/>
  <c r="AW11" s="1"/>
  <c r="AE11"/>
  <c r="AC11" s="1"/>
  <c r="U11"/>
  <c r="V11" s="1"/>
  <c r="D11"/>
  <c r="B11" s="1"/>
  <c r="BW10"/>
  <c r="BX10" s="1"/>
  <c r="BF10"/>
  <c r="BD10" s="1"/>
  <c r="AV10"/>
  <c r="AX10" s="1"/>
  <c r="AE10"/>
  <c r="AC10" s="1"/>
  <c r="U10"/>
  <c r="V10" s="1"/>
  <c r="D10"/>
  <c r="B10" s="1"/>
  <c r="BY9"/>
  <c r="BX9"/>
  <c r="BW9"/>
  <c r="BF9"/>
  <c r="BE9"/>
  <c r="BD9"/>
  <c r="AV9"/>
  <c r="AW9" s="1"/>
  <c r="AE9"/>
  <c r="AC9" s="1"/>
  <c r="U9"/>
  <c r="V9" s="1"/>
  <c r="D9"/>
  <c r="B9" s="1"/>
  <c r="BW8"/>
  <c r="BX8" s="1"/>
  <c r="BF8"/>
  <c r="BD8" s="1"/>
  <c r="AX8"/>
  <c r="AV8"/>
  <c r="AW8" s="1"/>
  <c r="AE8"/>
  <c r="AD8" s="1"/>
  <c r="U8"/>
  <c r="V8" s="1"/>
  <c r="D8"/>
  <c r="B8" s="1"/>
  <c r="BY7"/>
  <c r="BW7"/>
  <c r="BX7" s="1"/>
  <c r="BF7"/>
  <c r="BD7" s="1"/>
  <c r="BE7"/>
  <c r="AV7"/>
  <c r="AW7" s="1"/>
  <c r="AE7"/>
  <c r="AC7" s="1"/>
  <c r="U7"/>
  <c r="V7" s="1"/>
  <c r="D7"/>
  <c r="B7" s="1"/>
  <c r="BW6"/>
  <c r="BX6" s="1"/>
  <c r="BF6"/>
  <c r="BD6" s="1"/>
  <c r="AX6"/>
  <c r="AV6"/>
  <c r="AW6" s="1"/>
  <c r="AE6"/>
  <c r="AD6" s="1"/>
  <c r="U6"/>
  <c r="V6" s="1"/>
  <c r="D6"/>
  <c r="B6" s="1"/>
  <c r="BW5"/>
  <c r="BX5" s="1"/>
  <c r="BF5"/>
  <c r="BD5" s="1"/>
  <c r="AV5"/>
  <c r="AW5" s="1"/>
  <c r="AE5"/>
  <c r="AC5" s="1"/>
  <c r="U5"/>
  <c r="V5" s="1"/>
  <c r="D5"/>
  <c r="B5" s="1"/>
  <c r="BV22" i="23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W7"/>
  <c r="U7"/>
  <c r="V7" s="1"/>
  <c r="D7"/>
  <c r="C7" s="1"/>
  <c r="BW6"/>
  <c r="BX6" s="1"/>
  <c r="BF6"/>
  <c r="BD6" s="1"/>
  <c r="AX6"/>
  <c r="AV6"/>
  <c r="AW6" s="1"/>
  <c r="AE6"/>
  <c r="AD6" s="1"/>
  <c r="U6"/>
  <c r="V6" s="1"/>
  <c r="D6"/>
  <c r="B6" s="1"/>
  <c r="BY5"/>
  <c r="BX5"/>
  <c r="BW5"/>
  <c r="BF5"/>
  <c r="BE5"/>
  <c r="BD5"/>
  <c r="AV5"/>
  <c r="AW5" s="1"/>
  <c r="AE5"/>
  <c r="AC5" s="1"/>
  <c r="W5"/>
  <c r="U5"/>
  <c r="V5" s="1"/>
  <c r="D5"/>
  <c r="C5" s="1"/>
  <c r="BV22" i="22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W20"/>
  <c r="AV20"/>
  <c r="AX20" s="1"/>
  <c r="AE20"/>
  <c r="AD20"/>
  <c r="AC20"/>
  <c r="U20"/>
  <c r="V20" s="1"/>
  <c r="D20"/>
  <c r="B20" s="1"/>
  <c r="BY19"/>
  <c r="BW19"/>
  <c r="BX19" s="1"/>
  <c r="BF19"/>
  <c r="BD19" s="1"/>
  <c r="BE19"/>
  <c r="AV19"/>
  <c r="AW19" s="1"/>
  <c r="AE19"/>
  <c r="AC19" s="1"/>
  <c r="W19"/>
  <c r="V19"/>
  <c r="U19"/>
  <c r="D19"/>
  <c r="C19" s="1"/>
  <c r="BW18"/>
  <c r="BX18" s="1"/>
  <c r="BF18"/>
  <c r="BD18" s="1"/>
  <c r="AW18"/>
  <c r="AV18"/>
  <c r="AX18" s="1"/>
  <c r="AE18"/>
  <c r="AD18" s="1"/>
  <c r="AC18"/>
  <c r="U18"/>
  <c r="V18" s="1"/>
  <c r="D18"/>
  <c r="B18" s="1"/>
  <c r="BW17"/>
  <c r="BX17" s="1"/>
  <c r="BF17"/>
  <c r="BE17"/>
  <c r="BD17"/>
  <c r="AV17"/>
  <c r="AW17" s="1"/>
  <c r="AE17"/>
  <c r="AC17" s="1"/>
  <c r="W17"/>
  <c r="V17"/>
  <c r="U17"/>
  <c r="D17"/>
  <c r="C17" s="1"/>
  <c r="BW16"/>
  <c r="BX16" s="1"/>
  <c r="BF16"/>
  <c r="BD16" s="1"/>
  <c r="AW16"/>
  <c r="AV16"/>
  <c r="AX16" s="1"/>
  <c r="AE16"/>
  <c r="AD16" s="1"/>
  <c r="AC16"/>
  <c r="U16"/>
  <c r="V16" s="1"/>
  <c r="D16"/>
  <c r="B16" s="1"/>
  <c r="BY15"/>
  <c r="BW15"/>
  <c r="BX15" s="1"/>
  <c r="BF15"/>
  <c r="BD15" s="1"/>
  <c r="BE15"/>
  <c r="AV15"/>
  <c r="AW15" s="1"/>
  <c r="AE15"/>
  <c r="AC15" s="1"/>
  <c r="W15"/>
  <c r="V15"/>
  <c r="U15"/>
  <c r="D15"/>
  <c r="C15" s="1"/>
  <c r="BW14"/>
  <c r="BX14" s="1"/>
  <c r="BF14"/>
  <c r="BD14" s="1"/>
  <c r="AW14"/>
  <c r="AV14"/>
  <c r="AX14" s="1"/>
  <c r="AE14"/>
  <c r="AD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V12"/>
  <c r="AX12" s="1"/>
  <c r="AE12"/>
  <c r="AD12" s="1"/>
  <c r="U12"/>
  <c r="V12" s="1"/>
  <c r="D12"/>
  <c r="B12" s="1"/>
  <c r="BW11"/>
  <c r="BY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V10"/>
  <c r="AX10" s="1"/>
  <c r="AE10"/>
  <c r="AD10" s="1"/>
  <c r="U10"/>
  <c r="V10" s="1"/>
  <c r="D10"/>
  <c r="B10" s="1"/>
  <c r="BW9"/>
  <c r="BY9" s="1"/>
  <c r="BF9"/>
  <c r="BE9" s="1"/>
  <c r="AV9"/>
  <c r="AW9" s="1"/>
  <c r="AE9"/>
  <c r="AC9" s="1"/>
  <c r="W9"/>
  <c r="V9"/>
  <c r="U9"/>
  <c r="D9"/>
  <c r="C9" s="1"/>
  <c r="BW8"/>
  <c r="BX8" s="1"/>
  <c r="BF8"/>
  <c r="BD8" s="1"/>
  <c r="AX8"/>
  <c r="AW8"/>
  <c r="AV8"/>
  <c r="AE8"/>
  <c r="AC8" s="1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W5"/>
  <c r="V5"/>
  <c r="U5"/>
  <c r="D5"/>
  <c r="C5"/>
  <c r="B5"/>
  <c r="BV22" i="2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W20"/>
  <c r="AV20"/>
  <c r="AX20" s="1"/>
  <c r="AE20"/>
  <c r="AD20" s="1"/>
  <c r="U20"/>
  <c r="V20" s="1"/>
  <c r="D20"/>
  <c r="B20" s="1"/>
  <c r="BW19"/>
  <c r="BX19" s="1"/>
  <c r="BF19"/>
  <c r="BD19" s="1"/>
  <c r="AV19"/>
  <c r="AW19" s="1"/>
  <c r="AE19"/>
  <c r="AC19" s="1"/>
  <c r="U19"/>
  <c r="W19" s="1"/>
  <c r="D19"/>
  <c r="C19" s="1"/>
  <c r="BW18"/>
  <c r="BX18" s="1"/>
  <c r="BF18"/>
  <c r="BD18" s="1"/>
  <c r="AX18"/>
  <c r="AW18"/>
  <c r="AV18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W17" s="1"/>
  <c r="D17"/>
  <c r="C17" s="1"/>
  <c r="BW16"/>
  <c r="BX16" s="1"/>
  <c r="BF16"/>
  <c r="BD16" s="1"/>
  <c r="AX16"/>
  <c r="AW16"/>
  <c r="AV16"/>
  <c r="AE16"/>
  <c r="AD16" s="1"/>
  <c r="U16"/>
  <c r="V16" s="1"/>
  <c r="D16"/>
  <c r="B16" s="1"/>
  <c r="BW15"/>
  <c r="BX15" s="1"/>
  <c r="BF15"/>
  <c r="BD15" s="1"/>
  <c r="AV15"/>
  <c r="AW15" s="1"/>
  <c r="AE15"/>
  <c r="AC15" s="1"/>
  <c r="U15"/>
  <c r="W15" s="1"/>
  <c r="D15"/>
  <c r="C15" s="1"/>
  <c r="BW14"/>
  <c r="BX14" s="1"/>
  <c r="BF14"/>
  <c r="BD14" s="1"/>
  <c r="AX14"/>
  <c r="AW14"/>
  <c r="AV14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W13" s="1"/>
  <c r="D13"/>
  <c r="C13" s="1"/>
  <c r="BW12"/>
  <c r="BX12" s="1"/>
  <c r="BF12"/>
  <c r="BD12" s="1"/>
  <c r="AX12"/>
  <c r="AW12"/>
  <c r="AV12"/>
  <c r="AE12"/>
  <c r="AC12" s="1"/>
  <c r="U12"/>
  <c r="V12" s="1"/>
  <c r="D12"/>
  <c r="B12" s="1"/>
  <c r="BW11"/>
  <c r="BX11" s="1"/>
  <c r="BF11"/>
  <c r="BE11" s="1"/>
  <c r="AV11"/>
  <c r="AW11" s="1"/>
  <c r="AE11"/>
  <c r="AC11" s="1"/>
  <c r="U11"/>
  <c r="W11" s="1"/>
  <c r="D11"/>
  <c r="C11" s="1"/>
  <c r="BW10"/>
  <c r="BX10" s="1"/>
  <c r="BF10"/>
  <c r="BD10" s="1"/>
  <c r="AX10"/>
  <c r="AW10"/>
  <c r="AV10"/>
  <c r="AE10"/>
  <c r="AD10" s="1"/>
  <c r="U10"/>
  <c r="V10" s="1"/>
  <c r="D10"/>
  <c r="B10" s="1"/>
  <c r="BY9"/>
  <c r="BX9"/>
  <c r="BW9"/>
  <c r="BF9"/>
  <c r="BE9" s="1"/>
  <c r="AV9"/>
  <c r="AW9" s="1"/>
  <c r="AE9"/>
  <c r="AC9" s="1"/>
  <c r="U9"/>
  <c r="W9" s="1"/>
  <c r="D9"/>
  <c r="C9" s="1"/>
  <c r="BW8"/>
  <c r="BX8" s="1"/>
  <c r="BF8"/>
  <c r="BD8" s="1"/>
  <c r="AX8"/>
  <c r="AW8"/>
  <c r="AV8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 s="1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 s="1"/>
  <c r="BV22" i="1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X19"/>
  <c r="BW19"/>
  <c r="BY19" s="1"/>
  <c r="BF19"/>
  <c r="BE19" s="1"/>
  <c r="AV19"/>
  <c r="AW19" s="1"/>
  <c r="AE19"/>
  <c r="AC19" s="1"/>
  <c r="W19"/>
  <c r="V19"/>
  <c r="U19"/>
  <c r="D19"/>
  <c r="B19" s="1"/>
  <c r="BW18"/>
  <c r="BX18" s="1"/>
  <c r="BF18"/>
  <c r="BD18" s="1"/>
  <c r="AW18"/>
  <c r="AV18"/>
  <c r="AX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W17"/>
  <c r="V17"/>
  <c r="U17"/>
  <c r="D17"/>
  <c r="B17" s="1"/>
  <c r="BW16"/>
  <c r="BX16" s="1"/>
  <c r="BF16"/>
  <c r="BD16" s="1"/>
  <c r="AX16"/>
  <c r="AV16"/>
  <c r="AW16" s="1"/>
  <c r="AE16"/>
  <c r="AD16" s="1"/>
  <c r="U16"/>
  <c r="V16" s="1"/>
  <c r="D16"/>
  <c r="B16" s="1"/>
  <c r="BW15"/>
  <c r="BX15" s="1"/>
  <c r="BF15"/>
  <c r="BE15" s="1"/>
  <c r="AV15"/>
  <c r="AW15" s="1"/>
  <c r="AE15"/>
  <c r="AC15" s="1"/>
  <c r="W15"/>
  <c r="V15"/>
  <c r="U15"/>
  <c r="D15"/>
  <c r="B15" s="1"/>
  <c r="BW14"/>
  <c r="BX14" s="1"/>
  <c r="BF14"/>
  <c r="BD14" s="1"/>
  <c r="AX14"/>
  <c r="AW14"/>
  <c r="AV14"/>
  <c r="AE14"/>
  <c r="AC14" s="1"/>
  <c r="U14"/>
  <c r="V14" s="1"/>
  <c r="D14"/>
  <c r="B14" s="1"/>
  <c r="BW13"/>
  <c r="BX13" s="1"/>
  <c r="BF13"/>
  <c r="BE13" s="1"/>
  <c r="AV13"/>
  <c r="AW13" s="1"/>
  <c r="AE13"/>
  <c r="AC13" s="1"/>
  <c r="U13"/>
  <c r="W13" s="1"/>
  <c r="D13"/>
  <c r="B13" s="1"/>
  <c r="BW12"/>
  <c r="BX12" s="1"/>
  <c r="BF12"/>
  <c r="BD12" s="1"/>
  <c r="AW12"/>
  <c r="AV12"/>
  <c r="AX12" s="1"/>
  <c r="AE12"/>
  <c r="AD12" s="1"/>
  <c r="U12"/>
  <c r="V12" s="1"/>
  <c r="D12"/>
  <c r="B12" s="1"/>
  <c r="BY11"/>
  <c r="BW11"/>
  <c r="BX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Y7"/>
  <c r="BW7"/>
  <c r="BX7" s="1"/>
  <c r="BF7"/>
  <c r="BD7" s="1"/>
  <c r="AV7"/>
  <c r="AW7" s="1"/>
  <c r="AE7"/>
  <c r="AC7" s="1"/>
  <c r="W7"/>
  <c r="V7"/>
  <c r="U7"/>
  <c r="D7"/>
  <c r="C7" s="1"/>
  <c r="BW6"/>
  <c r="BX6" s="1"/>
  <c r="BF6"/>
  <c r="BD6" s="1"/>
  <c r="AW6"/>
  <c r="AV6"/>
  <c r="AX6" s="1"/>
  <c r="AE6"/>
  <c r="AD6" s="1"/>
  <c r="AC6"/>
  <c r="U6"/>
  <c r="V6" s="1"/>
  <c r="D6"/>
  <c r="B6" s="1"/>
  <c r="BY5"/>
  <c r="BW5"/>
  <c r="BX5" s="1"/>
  <c r="BF5"/>
  <c r="BE5"/>
  <c r="BD5"/>
  <c r="AV5"/>
  <c r="AW5" s="1"/>
  <c r="AE5"/>
  <c r="AC5" s="1"/>
  <c r="W5"/>
  <c r="V5"/>
  <c r="U5"/>
  <c r="D5"/>
  <c r="C5"/>
  <c r="B5"/>
  <c r="BV22" i="1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C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W17"/>
  <c r="V17"/>
  <c r="U17"/>
  <c r="D17"/>
  <c r="C17" s="1"/>
  <c r="BW16"/>
  <c r="BX16" s="1"/>
  <c r="BF16"/>
  <c r="BD16" s="1"/>
  <c r="AX16"/>
  <c r="AW16"/>
  <c r="AV16"/>
  <c r="AE16"/>
  <c r="AC16" s="1"/>
  <c r="U16"/>
  <c r="V16" s="1"/>
  <c r="D16"/>
  <c r="B16" s="1"/>
  <c r="BW15"/>
  <c r="BX15" s="1"/>
  <c r="BF15"/>
  <c r="BD15" s="1"/>
  <c r="AV15"/>
  <c r="AW15" s="1"/>
  <c r="AE15"/>
  <c r="AC15" s="1"/>
  <c r="W15"/>
  <c r="V15"/>
  <c r="U15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X12"/>
  <c r="AW12"/>
  <c r="AV12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W11" s="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X8"/>
  <c r="AW8"/>
  <c r="AV8"/>
  <c r="AE8"/>
  <c r="AD8" s="1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 s="1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1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Y19"/>
  <c r="BX19"/>
  <c r="BW19"/>
  <c r="BF19"/>
  <c r="BD19" s="1"/>
  <c r="AV19"/>
  <c r="AW19" s="1"/>
  <c r="AE19"/>
  <c r="AC19" s="1"/>
  <c r="W19"/>
  <c r="V19"/>
  <c r="U19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Y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X16"/>
  <c r="AW16"/>
  <c r="AV16"/>
  <c r="AE16"/>
  <c r="AC16" s="1"/>
  <c r="U16"/>
  <c r="V16" s="1"/>
  <c r="D16"/>
  <c r="B16" s="1"/>
  <c r="BW15"/>
  <c r="BY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W11"/>
  <c r="V11"/>
  <c r="U11"/>
  <c r="D11"/>
  <c r="B11" s="1"/>
  <c r="BW10"/>
  <c r="BX10" s="1"/>
  <c r="BF10"/>
  <c r="BD10" s="1"/>
  <c r="AW10"/>
  <c r="AV10"/>
  <c r="AX10" s="1"/>
  <c r="AE10"/>
  <c r="AC10" s="1"/>
  <c r="U10"/>
  <c r="V10" s="1"/>
  <c r="D10"/>
  <c r="B10" s="1"/>
  <c r="BY9"/>
  <c r="BX9"/>
  <c r="BW9"/>
  <c r="BF9"/>
  <c r="BD9" s="1"/>
  <c r="AV9"/>
  <c r="AW9" s="1"/>
  <c r="AE9"/>
  <c r="AC9" s="1"/>
  <c r="U9"/>
  <c r="W9" s="1"/>
  <c r="D9"/>
  <c r="B9" s="1"/>
  <c r="BW8"/>
  <c r="BX8" s="1"/>
  <c r="BF8"/>
  <c r="BD8" s="1"/>
  <c r="AV8"/>
  <c r="AW8" s="1"/>
  <c r="AE8"/>
  <c r="AC8" s="1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/>
  <c r="B7"/>
  <c r="BW6"/>
  <c r="BX6" s="1"/>
  <c r="BF6"/>
  <c r="BD6" s="1"/>
  <c r="AX6"/>
  <c r="AW6"/>
  <c r="AV6"/>
  <c r="AE6"/>
  <c r="AC6" s="1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/>
  <c r="B5"/>
  <c r="BV22" i="3"/>
  <c r="BU22"/>
  <c r="BT22"/>
  <c r="BS22"/>
  <c r="BR22"/>
  <c r="BQ22"/>
  <c r="BP22"/>
  <c r="BO22"/>
  <c r="BN22"/>
  <c r="BM22"/>
  <c r="BL22"/>
  <c r="BK22"/>
  <c r="BJ22"/>
  <c r="BI22"/>
  <c r="BH22"/>
  <c r="BG22"/>
  <c r="BW20"/>
  <c r="BX20" s="1"/>
  <c r="BF20"/>
  <c r="BD20" s="1"/>
  <c r="BW19"/>
  <c r="BX19" s="1"/>
  <c r="BF19"/>
  <c r="BE19" s="1"/>
  <c r="BW18"/>
  <c r="BX18" s="1"/>
  <c r="BF18"/>
  <c r="BD18" s="1"/>
  <c r="BW17"/>
  <c r="BY17" s="1"/>
  <c r="BF17"/>
  <c r="BE17" s="1"/>
  <c r="BW16"/>
  <c r="BX16" s="1"/>
  <c r="BF16"/>
  <c r="BD16" s="1"/>
  <c r="BX15"/>
  <c r="BW15"/>
  <c r="BY15" s="1"/>
  <c r="BF15"/>
  <c r="BE15" s="1"/>
  <c r="BW14"/>
  <c r="BX14" s="1"/>
  <c r="BF14"/>
  <c r="BD14" s="1"/>
  <c r="BX13"/>
  <c r="BW13"/>
  <c r="BY13" s="1"/>
  <c r="BF13"/>
  <c r="BE13" s="1"/>
  <c r="BW12"/>
  <c r="BX12" s="1"/>
  <c r="BF12"/>
  <c r="BD12" s="1"/>
  <c r="BW11"/>
  <c r="BY11" s="1"/>
  <c r="BF11"/>
  <c r="BE11" s="1"/>
  <c r="BY10"/>
  <c r="BW10"/>
  <c r="BX10" s="1"/>
  <c r="BF10"/>
  <c r="BD10" s="1"/>
  <c r="BW9"/>
  <c r="BY9" s="1"/>
  <c r="BF9"/>
  <c r="BE9" s="1"/>
  <c r="BY8"/>
  <c r="BW8"/>
  <c r="BX8" s="1"/>
  <c r="BF8"/>
  <c r="BD8" s="1"/>
  <c r="BW7"/>
  <c r="BY7" s="1"/>
  <c r="BF7"/>
  <c r="BE7" s="1"/>
  <c r="BD7"/>
  <c r="BY6"/>
  <c r="BW6"/>
  <c r="BX6" s="1"/>
  <c r="BF6"/>
  <c r="BD6" s="1"/>
  <c r="BX5"/>
  <c r="BW5"/>
  <c r="BY5" s="1"/>
  <c r="BF5"/>
  <c r="BE5" s="1"/>
  <c r="BD5"/>
  <c r="AU22"/>
  <c r="AT22"/>
  <c r="AS22"/>
  <c r="AR22"/>
  <c r="AQ22"/>
  <c r="AP22"/>
  <c r="AO22"/>
  <c r="AN22"/>
  <c r="AM22"/>
  <c r="AL22"/>
  <c r="AK22"/>
  <c r="AJ22"/>
  <c r="AI22"/>
  <c r="AH22"/>
  <c r="AG22"/>
  <c r="AF22"/>
  <c r="AV20"/>
  <c r="AW20" s="1"/>
  <c r="AE20"/>
  <c r="AC20" s="1"/>
  <c r="AV19"/>
  <c r="AW19" s="1"/>
  <c r="AE19"/>
  <c r="AD19" s="1"/>
  <c r="AC19"/>
  <c r="AV18"/>
  <c r="AW18" s="1"/>
  <c r="AE18"/>
  <c r="AC18" s="1"/>
  <c r="AV17"/>
  <c r="AW17" s="1"/>
  <c r="AE17"/>
  <c r="AD17" s="1"/>
  <c r="AV16"/>
  <c r="AW16" s="1"/>
  <c r="AE16"/>
  <c r="AC16" s="1"/>
  <c r="AV15"/>
  <c r="AW15" s="1"/>
  <c r="AE15"/>
  <c r="AC15" s="1"/>
  <c r="AV14"/>
  <c r="AW14" s="1"/>
  <c r="AE14"/>
  <c r="AC14" s="1"/>
  <c r="AX13"/>
  <c r="AW13"/>
  <c r="AV13"/>
  <c r="AE13"/>
  <c r="AC13" s="1"/>
  <c r="AV12"/>
  <c r="AW12" s="1"/>
  <c r="AE12"/>
  <c r="AC12" s="1"/>
  <c r="AV11"/>
  <c r="AX11" s="1"/>
  <c r="AE11"/>
  <c r="AD11"/>
  <c r="AC11"/>
  <c r="AV10"/>
  <c r="AW10" s="1"/>
  <c r="AE10"/>
  <c r="AC10" s="1"/>
  <c r="AV9"/>
  <c r="AX9" s="1"/>
  <c r="AE9"/>
  <c r="AD9" s="1"/>
  <c r="AV8"/>
  <c r="AW8" s="1"/>
  <c r="AE8"/>
  <c r="AC8" s="1"/>
  <c r="AV7"/>
  <c r="AW7" s="1"/>
  <c r="AE7"/>
  <c r="AC7" s="1"/>
  <c r="AV6"/>
  <c r="AW6" s="1"/>
  <c r="AE6"/>
  <c r="AC6" s="1"/>
  <c r="AX5"/>
  <c r="AW5"/>
  <c r="AV5"/>
  <c r="AE5"/>
  <c r="AC5" s="1"/>
  <c r="AD5"/>
  <c r="T22"/>
  <c r="S22"/>
  <c r="R22"/>
  <c r="Q22"/>
  <c r="P22"/>
  <c r="O22"/>
  <c r="N22"/>
  <c r="M22"/>
  <c r="L22"/>
  <c r="K22"/>
  <c r="J22"/>
  <c r="I22"/>
  <c r="H22"/>
  <c r="G22"/>
  <c r="F22"/>
  <c r="E22"/>
  <c r="U20"/>
  <c r="V20" s="1"/>
  <c r="D20"/>
  <c r="B20" s="1"/>
  <c r="U19"/>
  <c r="V19" s="1"/>
  <c r="D19"/>
  <c r="B19" s="1"/>
  <c r="U18"/>
  <c r="V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C11" s="1"/>
  <c r="U10"/>
  <c r="V10" s="1"/>
  <c r="D10"/>
  <c r="B10" s="1"/>
  <c r="U9"/>
  <c r="W9" s="1"/>
  <c r="D9"/>
  <c r="C9" s="1"/>
  <c r="U8"/>
  <c r="V8" s="1"/>
  <c r="D8"/>
  <c r="B8" s="1"/>
  <c r="U7"/>
  <c r="W7" s="1"/>
  <c r="D7"/>
  <c r="C7" s="1"/>
  <c r="U6"/>
  <c r="V6" s="1"/>
  <c r="D6"/>
  <c r="B6" s="1"/>
  <c r="U5"/>
  <c r="W5" s="1"/>
  <c r="D5"/>
  <c r="C5" s="1"/>
  <c r="BD24" i="39" l="1"/>
  <c r="BC28" s="1"/>
  <c r="E52" i="48" s="1"/>
  <c r="S52" s="1"/>
  <c r="AC25" i="39"/>
  <c r="AB29" s="1"/>
  <c r="CP20" i="51"/>
  <c r="CT20"/>
  <c r="CX20"/>
  <c r="DB20"/>
  <c r="CO20"/>
  <c r="CS20"/>
  <c r="CW20"/>
  <c r="DA20"/>
  <c r="CN20"/>
  <c r="CR20"/>
  <c r="CV20"/>
  <c r="CZ20"/>
  <c r="CQ20"/>
  <c r="CU20"/>
  <c r="CY20"/>
  <c r="DC20"/>
  <c r="CP19"/>
  <c r="CT19"/>
  <c r="CX19"/>
  <c r="DB19"/>
  <c r="CO19"/>
  <c r="CS19"/>
  <c r="CW19"/>
  <c r="DA19"/>
  <c r="CN19"/>
  <c r="CR19"/>
  <c r="CV19"/>
  <c r="CZ19"/>
  <c r="CQ19"/>
  <c r="CU19"/>
  <c r="CY19"/>
  <c r="DC19"/>
  <c r="BD24" i="38"/>
  <c r="BC28" s="1"/>
  <c r="E46" i="48" s="1"/>
  <c r="S46" s="1"/>
  <c r="BD25" i="38"/>
  <c r="BC29" s="1"/>
  <c r="B25"/>
  <c r="A29" s="1"/>
  <c r="AC25" i="37"/>
  <c r="AB29" s="1"/>
  <c r="B24" i="36"/>
  <c r="A28" s="1"/>
  <c r="E38" i="48" s="1"/>
  <c r="S38" s="1"/>
  <c r="BD24" i="46"/>
  <c r="BC28" s="1"/>
  <c r="AC24"/>
  <c r="AB28" s="1"/>
  <c r="B24"/>
  <c r="A28" s="1"/>
  <c r="E72" i="48" s="1"/>
  <c r="S72" s="1"/>
  <c r="BD24" i="45"/>
  <c r="BC28" s="1"/>
  <c r="E71" i="48" s="1"/>
  <c r="S71" s="1"/>
  <c r="BD25" i="45"/>
  <c r="BC29" s="1"/>
  <c r="AC24"/>
  <c r="AB28" s="1"/>
  <c r="AC25"/>
  <c r="AB29" s="1"/>
  <c r="B25"/>
  <c r="A29" s="1"/>
  <c r="B24"/>
  <c r="A28" s="1"/>
  <c r="E68" i="48" s="1"/>
  <c r="S68" s="1"/>
  <c r="BD24" i="44"/>
  <c r="BC28" s="1"/>
  <c r="E67" i="48" s="1"/>
  <c r="S67" s="1"/>
  <c r="AC24" i="44"/>
  <c r="AB28" s="1"/>
  <c r="E66" i="48" s="1"/>
  <c r="S66" s="1"/>
  <c r="B24" i="44"/>
  <c r="A28" s="1"/>
  <c r="E65" i="48" s="1"/>
  <c r="S65" s="1"/>
  <c r="BD24" i="43"/>
  <c r="BC28" s="1"/>
  <c r="E64" i="48" s="1"/>
  <c r="S64" s="1"/>
  <c r="AC24" i="43"/>
  <c r="AB28" s="1"/>
  <c r="E63" i="48" s="1"/>
  <c r="S63" s="1"/>
  <c r="B24" i="43"/>
  <c r="A28" s="1"/>
  <c r="E62" i="48" s="1"/>
  <c r="S62" s="1"/>
  <c r="BD24" i="42"/>
  <c r="BC28" s="1"/>
  <c r="E61" i="48" s="1"/>
  <c r="S61" s="1"/>
  <c r="AC25" i="42"/>
  <c r="AB29" s="1"/>
  <c r="AC24"/>
  <c r="AB28" s="1"/>
  <c r="E60" i="48" s="1"/>
  <c r="S60" s="1"/>
  <c r="B24" i="42"/>
  <c r="A28" s="1"/>
  <c r="E59" i="48" s="1"/>
  <c r="S59" s="1"/>
  <c r="BD25" i="41"/>
  <c r="BC29" s="1"/>
  <c r="U22" i="25"/>
  <c r="U22" i="24"/>
  <c r="AC14"/>
  <c r="AW10"/>
  <c r="AD12"/>
  <c r="AD10"/>
  <c r="AD16"/>
  <c r="AX16"/>
  <c r="AX14"/>
  <c r="AV22"/>
  <c r="BY11" i="14"/>
  <c r="AD8" i="22"/>
  <c r="AV22"/>
  <c r="B19"/>
  <c r="B17"/>
  <c r="B15"/>
  <c r="C13"/>
  <c r="C11"/>
  <c r="BY19" i="21"/>
  <c r="BY17"/>
  <c r="BY15"/>
  <c r="BY13"/>
  <c r="BY11"/>
  <c r="BE19"/>
  <c r="BE17"/>
  <c r="BE13"/>
  <c r="BD11"/>
  <c r="BE15"/>
  <c r="BW22"/>
  <c r="BX22" s="1"/>
  <c r="BD9"/>
  <c r="AD18"/>
  <c r="AD12"/>
  <c r="AC10"/>
  <c r="AV22"/>
  <c r="AW22" s="1"/>
  <c r="AC16"/>
  <c r="AC14"/>
  <c r="AC20"/>
  <c r="BY13" i="15"/>
  <c r="BE17"/>
  <c r="AX8"/>
  <c r="W9"/>
  <c r="BY19" i="14"/>
  <c r="BY9"/>
  <c r="BX13"/>
  <c r="BY15"/>
  <c r="BY17"/>
  <c r="BY13" i="12"/>
  <c r="BD24" i="41"/>
  <c r="BC28" s="1"/>
  <c r="E58" i="48" s="1"/>
  <c r="S58" s="1"/>
  <c r="AC25" i="41"/>
  <c r="AB29" s="1"/>
  <c r="AC24"/>
  <c r="AB28" s="1"/>
  <c r="E57" i="48" s="1"/>
  <c r="S57" s="1"/>
  <c r="B25" i="41"/>
  <c r="A29" s="1"/>
  <c r="B24"/>
  <c r="A28" s="1"/>
  <c r="E56" i="48" s="1"/>
  <c r="S56" s="1"/>
  <c r="B24" i="40"/>
  <c r="A28" s="1"/>
  <c r="E53" i="48" s="1"/>
  <c r="S53" s="1"/>
  <c r="BD24" i="40"/>
  <c r="BC28" s="1"/>
  <c r="E55" i="48" s="1"/>
  <c r="S55" s="1"/>
  <c r="AC24" i="40"/>
  <c r="AB28" s="1"/>
  <c r="E54" i="48" s="1"/>
  <c r="S54" s="1"/>
  <c r="AC24" i="39"/>
  <c r="AB28" s="1"/>
  <c r="E51" i="48" s="1"/>
  <c r="S51" s="1"/>
  <c r="B24" i="39"/>
  <c r="A28" s="1"/>
  <c r="E50" i="48" s="1"/>
  <c r="S50" s="1"/>
  <c r="AC24" i="38"/>
  <c r="AB28" s="1"/>
  <c r="E45" i="48" s="1"/>
  <c r="S45" s="1"/>
  <c r="B24" i="38"/>
  <c r="A28" s="1"/>
  <c r="E44" i="48" s="1"/>
  <c r="S44" s="1"/>
  <c r="BD24" i="37"/>
  <c r="BC28" s="1"/>
  <c r="E43" i="48" s="1"/>
  <c r="S43" s="1"/>
  <c r="AC24" i="37"/>
  <c r="AB28" s="1"/>
  <c r="E42" i="48" s="1"/>
  <c r="S42" s="1"/>
  <c r="B24" i="37"/>
  <c r="A28" s="1"/>
  <c r="E41" i="48" s="1"/>
  <c r="S41" s="1"/>
  <c r="BD24" i="36"/>
  <c r="BC28" s="1"/>
  <c r="E40" i="48" s="1"/>
  <c r="S40" s="1"/>
  <c r="BD25" i="36"/>
  <c r="BC29" s="1"/>
  <c r="AC24"/>
  <c r="AB28" s="1"/>
  <c r="E39" i="48" s="1"/>
  <c r="S39" s="1"/>
  <c r="AV22" i="25"/>
  <c r="BX19" i="26"/>
  <c r="BE9"/>
  <c r="BE11"/>
  <c r="BE13"/>
  <c r="BE17"/>
  <c r="BE7"/>
  <c r="AC6"/>
  <c r="AD10"/>
  <c r="AX10"/>
  <c r="AD12"/>
  <c r="AX12"/>
  <c r="AD14"/>
  <c r="AX14"/>
  <c r="AX20"/>
  <c r="W11"/>
  <c r="C13"/>
  <c r="W13"/>
  <c r="W15"/>
  <c r="W17"/>
  <c r="W19"/>
  <c r="C11"/>
  <c r="BE5" i="25"/>
  <c r="BY5"/>
  <c r="BE7"/>
  <c r="BY7"/>
  <c r="BE9"/>
  <c r="BY9"/>
  <c r="BE11"/>
  <c r="BY11"/>
  <c r="BE13"/>
  <c r="BY13"/>
  <c r="BE15"/>
  <c r="BY15"/>
  <c r="BE17"/>
  <c r="BY17"/>
  <c r="BE19"/>
  <c r="BY19"/>
  <c r="AD6"/>
  <c r="AX6"/>
  <c r="AD8"/>
  <c r="AX8"/>
  <c r="AD10"/>
  <c r="AX10"/>
  <c r="AD12"/>
  <c r="AX12"/>
  <c r="AD14"/>
  <c r="AX14"/>
  <c r="AD16"/>
  <c r="AX16"/>
  <c r="AD18"/>
  <c r="AX18"/>
  <c r="AD20"/>
  <c r="C5"/>
  <c r="W5"/>
  <c r="C7"/>
  <c r="W7"/>
  <c r="C9"/>
  <c r="W9"/>
  <c r="C11"/>
  <c r="W11"/>
  <c r="C13"/>
  <c r="W13"/>
  <c r="C15"/>
  <c r="W15"/>
  <c r="C17"/>
  <c r="W17"/>
  <c r="C19"/>
  <c r="W19"/>
  <c r="BE5" i="24"/>
  <c r="BY5"/>
  <c r="BE13"/>
  <c r="BY13"/>
  <c r="BE19"/>
  <c r="BY19"/>
  <c r="AC6"/>
  <c r="AC8"/>
  <c r="AD20"/>
  <c r="AX20"/>
  <c r="AX18"/>
  <c r="C5"/>
  <c r="W5"/>
  <c r="C7"/>
  <c r="W7"/>
  <c r="C9"/>
  <c r="W9"/>
  <c r="C11"/>
  <c r="W11"/>
  <c r="C13"/>
  <c r="W13"/>
  <c r="C15"/>
  <c r="C17"/>
  <c r="C19"/>
  <c r="BE7" i="23"/>
  <c r="BY7"/>
  <c r="BE9"/>
  <c r="BY9"/>
  <c r="BE11"/>
  <c r="BY11"/>
  <c r="BE13"/>
  <c r="BY13"/>
  <c r="BE15"/>
  <c r="BY15"/>
  <c r="BE17"/>
  <c r="BY17"/>
  <c r="BE19"/>
  <c r="BY19"/>
  <c r="AC6"/>
  <c r="AX8"/>
  <c r="AD10"/>
  <c r="AX10"/>
  <c r="AD12"/>
  <c r="AX12"/>
  <c r="AD14"/>
  <c r="AX14"/>
  <c r="AD16"/>
  <c r="AX16"/>
  <c r="AD18"/>
  <c r="AX18"/>
  <c r="AD20"/>
  <c r="AX20"/>
  <c r="AV22"/>
  <c r="AW22" s="1"/>
  <c r="B5"/>
  <c r="B7"/>
  <c r="W9"/>
  <c r="C11"/>
  <c r="W11"/>
  <c r="C13"/>
  <c r="W13"/>
  <c r="C15"/>
  <c r="W15"/>
  <c r="C17"/>
  <c r="W17"/>
  <c r="C19"/>
  <c r="W19"/>
  <c r="BD5" i="22"/>
  <c r="BX5"/>
  <c r="BD9"/>
  <c r="BX9"/>
  <c r="BD11"/>
  <c r="BX11"/>
  <c r="BD13"/>
  <c r="BX13"/>
  <c r="BY17"/>
  <c r="AC6"/>
  <c r="AW6"/>
  <c r="AC10"/>
  <c r="AW10"/>
  <c r="AC12"/>
  <c r="AW12"/>
  <c r="AC14"/>
  <c r="AX14" i="14"/>
  <c r="AX18"/>
  <c r="V7" i="12"/>
  <c r="V9"/>
  <c r="W13"/>
  <c r="W15"/>
  <c r="W17"/>
  <c r="AX17" i="3"/>
  <c r="V5"/>
  <c r="BD25" i="46"/>
  <c r="BC29" s="1"/>
  <c r="B25"/>
  <c r="A29" s="1"/>
  <c r="AC25"/>
  <c r="AB29" s="1"/>
  <c r="BD25" i="44"/>
  <c r="BC29" s="1"/>
  <c r="B25"/>
  <c r="A29" s="1"/>
  <c r="AC25"/>
  <c r="AB29" s="1"/>
  <c r="BD25" i="43"/>
  <c r="BC29" s="1"/>
  <c r="B25"/>
  <c r="A29" s="1"/>
  <c r="AC25"/>
  <c r="AB29" s="1"/>
  <c r="BD25" i="42"/>
  <c r="BC29" s="1"/>
  <c r="B25"/>
  <c r="A29" s="1"/>
  <c r="BD25" i="40"/>
  <c r="BC29" s="1"/>
  <c r="B25"/>
  <c r="A29" s="1"/>
  <c r="AC25"/>
  <c r="AB29" s="1"/>
  <c r="BD25" i="39"/>
  <c r="BC29" s="1"/>
  <c r="B25"/>
  <c r="A29" s="1"/>
  <c r="B25" i="37"/>
  <c r="A29" s="1"/>
  <c r="B25" i="36"/>
  <c r="A29" s="1"/>
  <c r="AC25"/>
  <c r="AB29" s="1"/>
  <c r="C9" i="26"/>
  <c r="BW22"/>
  <c r="BX22" s="1"/>
  <c r="AV22"/>
  <c r="AW22" s="1"/>
  <c r="U22"/>
  <c r="V11" i="14"/>
  <c r="W9"/>
  <c r="W19"/>
  <c r="U22" i="23"/>
  <c r="V22" s="1"/>
  <c r="B9"/>
  <c r="AD8"/>
  <c r="U22" i="22"/>
  <c r="V22" s="1"/>
  <c r="B9"/>
  <c r="B7"/>
  <c r="BY17" i="15"/>
  <c r="BY9"/>
  <c r="BY15"/>
  <c r="U22" i="21"/>
  <c r="V22" s="1"/>
  <c r="B5"/>
  <c r="V5"/>
  <c r="B7"/>
  <c r="V7"/>
  <c r="B9"/>
  <c r="V9"/>
  <c r="B11"/>
  <c r="V11"/>
  <c r="B13"/>
  <c r="V13"/>
  <c r="B15"/>
  <c r="V15"/>
  <c r="B17"/>
  <c r="V17"/>
  <c r="B19"/>
  <c r="V19"/>
  <c r="BD11" i="15"/>
  <c r="BE9"/>
  <c r="BD19"/>
  <c r="BD15"/>
  <c r="BD13"/>
  <c r="BE9" i="14"/>
  <c r="BD13"/>
  <c r="AW20"/>
  <c r="BX15" i="12"/>
  <c r="BX17"/>
  <c r="BY11"/>
  <c r="AC20"/>
  <c r="AC17" i="3"/>
  <c r="AD15"/>
  <c r="AC9"/>
  <c r="AC20" i="15"/>
  <c r="AD18"/>
  <c r="AC16"/>
  <c r="AD14"/>
  <c r="AC12"/>
  <c r="AD10"/>
  <c r="C13"/>
  <c r="C11"/>
  <c r="C15"/>
  <c r="C19"/>
  <c r="BE15" i="14"/>
  <c r="BE11"/>
  <c r="BE17"/>
  <c r="BE19"/>
  <c r="BW22"/>
  <c r="BX22" s="1"/>
  <c r="AD20"/>
  <c r="AD18"/>
  <c r="AD14"/>
  <c r="AD16"/>
  <c r="AD12"/>
  <c r="AD10"/>
  <c r="AV22"/>
  <c r="AW22" s="1"/>
  <c r="C11"/>
  <c r="C13"/>
  <c r="C15"/>
  <c r="B19"/>
  <c r="AC8"/>
  <c r="B7"/>
  <c r="B17"/>
  <c r="BE9" i="12"/>
  <c r="BE19"/>
  <c r="BE17"/>
  <c r="BE15"/>
  <c r="BE13"/>
  <c r="BE11"/>
  <c r="AX8"/>
  <c r="AD18"/>
  <c r="AD16"/>
  <c r="AD14"/>
  <c r="AD12"/>
  <c r="AD10"/>
  <c r="AD6"/>
  <c r="B15"/>
  <c r="C19"/>
  <c r="C17"/>
  <c r="C13"/>
  <c r="V13" i="15"/>
  <c r="C17"/>
  <c r="BW22"/>
  <c r="BX22" s="1"/>
  <c r="BE7"/>
  <c r="AW20"/>
  <c r="B7"/>
  <c r="AV22"/>
  <c r="AW22" s="1"/>
  <c r="AD8"/>
  <c r="B9"/>
  <c r="U22"/>
  <c r="V22" s="1"/>
  <c r="U22" i="14"/>
  <c r="V22" s="1"/>
  <c r="C9"/>
  <c r="V5" i="12"/>
  <c r="BW22"/>
  <c r="BX22" s="1"/>
  <c r="AX20"/>
  <c r="AD8"/>
  <c r="C9"/>
  <c r="C11"/>
  <c r="U22"/>
  <c r="V22" s="1"/>
  <c r="BX17" i="3"/>
  <c r="BD11"/>
  <c r="BD13"/>
  <c r="BD17"/>
  <c r="BD15"/>
  <c r="BD19"/>
  <c r="V22" i="26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V22" i="25"/>
  <c r="AW22"/>
  <c r="BX22"/>
  <c r="AX20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V22" i="24"/>
  <c r="AW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X22" i="23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W22" i="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21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4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X18" i="12"/>
  <c r="AX14"/>
  <c r="AX12"/>
  <c r="AV22"/>
  <c r="AW22" s="1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D9" i="3"/>
  <c r="BX11"/>
  <c r="AX15"/>
  <c r="BX7"/>
  <c r="AW11"/>
  <c r="AW9"/>
  <c r="BX9"/>
  <c r="AD13"/>
  <c r="BW22"/>
  <c r="BX22" s="1"/>
  <c r="AD7"/>
  <c r="AX7"/>
  <c r="AV22"/>
  <c r="AW22" s="1"/>
  <c r="BE6"/>
  <c r="BY19"/>
  <c r="BE8"/>
  <c r="BE10"/>
  <c r="BE12"/>
  <c r="BY12"/>
  <c r="BE14"/>
  <c r="BY14"/>
  <c r="BE16"/>
  <c r="BY16"/>
  <c r="BE18"/>
  <c r="BY18"/>
  <c r="BE20"/>
  <c r="BY20"/>
  <c r="AX19"/>
  <c r="AD6"/>
  <c r="AX6"/>
  <c r="AD8"/>
  <c r="AX8"/>
  <c r="AD10"/>
  <c r="AX10"/>
  <c r="AD12"/>
  <c r="AX12"/>
  <c r="AD14"/>
  <c r="AX14"/>
  <c r="AD16"/>
  <c r="AX16"/>
  <c r="AD18"/>
  <c r="AX18"/>
  <c r="AD20"/>
  <c r="AX20"/>
  <c r="V9"/>
  <c r="B9"/>
  <c r="B11"/>
  <c r="B5"/>
  <c r="C13"/>
  <c r="W13"/>
  <c r="W11"/>
  <c r="V7"/>
  <c r="B7"/>
  <c r="U22"/>
  <c r="V22" s="1"/>
  <c r="C15"/>
  <c r="W15"/>
  <c r="C17"/>
  <c r="W17"/>
  <c r="C19"/>
  <c r="W19"/>
  <c r="C6"/>
  <c r="W6"/>
  <c r="C8"/>
  <c r="W8"/>
  <c r="C10"/>
  <c r="W10"/>
  <c r="C12"/>
  <c r="W12"/>
  <c r="C14"/>
  <c r="W14"/>
  <c r="C16"/>
  <c r="W16"/>
  <c r="C18"/>
  <c r="W18"/>
  <c r="C20"/>
  <c r="W20"/>
  <c r="CE21" i="51" l="1"/>
  <c r="CK21" s="1"/>
  <c r="E70" i="48"/>
  <c r="S70" s="1"/>
  <c r="E69"/>
  <c r="S69" s="1"/>
  <c r="BD24" i="21"/>
  <c r="BC28" s="1"/>
  <c r="E22" i="48" s="1"/>
  <c r="S22" s="1"/>
  <c r="AC24" i="21"/>
  <c r="AB28" s="1"/>
  <c r="E21" i="48" s="1"/>
  <c r="S21" s="1"/>
  <c r="BD24" i="26"/>
  <c r="BC28" s="1"/>
  <c r="E37" i="48" s="1"/>
  <c r="S37" s="1"/>
  <c r="B24" i="26"/>
  <c r="A28" s="1"/>
  <c r="E35" i="48" s="1"/>
  <c r="S35" s="1"/>
  <c r="BD24" i="25"/>
  <c r="BC28" s="1"/>
  <c r="E34" i="48" s="1"/>
  <c r="S34" s="1"/>
  <c r="AC24" i="25"/>
  <c r="AB28" s="1"/>
  <c r="E33" i="48" s="1"/>
  <c r="S33" s="1"/>
  <c r="B24" i="25"/>
  <c r="A28" s="1"/>
  <c r="E32" i="48" s="1"/>
  <c r="S32" s="1"/>
  <c r="BD24" i="24"/>
  <c r="BC28" s="1"/>
  <c r="E31" i="48" s="1"/>
  <c r="S31" s="1"/>
  <c r="BD25" i="24"/>
  <c r="BC29" s="1"/>
  <c r="AC24"/>
  <c r="AB28" s="1"/>
  <c r="E30" i="48" s="1"/>
  <c r="S30" s="1"/>
  <c r="B24" i="24"/>
  <c r="A28" s="1"/>
  <c r="E29" i="48" s="1"/>
  <c r="S29" s="1"/>
  <c r="BD24" i="23"/>
  <c r="BC28" s="1"/>
  <c r="E28" i="48" s="1"/>
  <c r="S28" s="1"/>
  <c r="BD24" i="22"/>
  <c r="BC28" s="1"/>
  <c r="E25" i="48" s="1"/>
  <c r="S25" s="1"/>
  <c r="AC24" i="22"/>
  <c r="AB28" s="1"/>
  <c r="E24" i="48" s="1"/>
  <c r="S24" s="1"/>
  <c r="AC24" i="26"/>
  <c r="AB28" s="1"/>
  <c r="E36" i="48" s="1"/>
  <c r="S36" s="1"/>
  <c r="B24" i="23"/>
  <c r="A28" s="1"/>
  <c r="E26" i="48" s="1"/>
  <c r="S26" s="1"/>
  <c r="AC24" i="23"/>
  <c r="AB28" s="1"/>
  <c r="E27" i="48" s="1"/>
  <c r="S27" s="1"/>
  <c r="B24" i="22"/>
  <c r="A28" s="1"/>
  <c r="E23" i="48" s="1"/>
  <c r="S23" s="1"/>
  <c r="B24" i="21"/>
  <c r="A28" s="1"/>
  <c r="E20" i="48" s="1"/>
  <c r="S20" s="1"/>
  <c r="BD24" i="14"/>
  <c r="BC28" s="1"/>
  <c r="AC24"/>
  <c r="AB28" s="1"/>
  <c r="B24"/>
  <c r="A28" s="1"/>
  <c r="BD24" i="12"/>
  <c r="BC28" s="1"/>
  <c r="BD24" i="15"/>
  <c r="BC28" s="1"/>
  <c r="E19" i="48" s="1"/>
  <c r="S19" s="1"/>
  <c r="AC24" i="15"/>
  <c r="AB28" s="1"/>
  <c r="B24"/>
  <c r="A28" s="1"/>
  <c r="B24" i="12"/>
  <c r="A28" s="1"/>
  <c r="BD25" i="26"/>
  <c r="BC29" s="1"/>
  <c r="B25"/>
  <c r="A29" s="1"/>
  <c r="AC25"/>
  <c r="AB29" s="1"/>
  <c r="BD25" i="25"/>
  <c r="BC29" s="1"/>
  <c r="B25"/>
  <c r="A29" s="1"/>
  <c r="AC25"/>
  <c r="AB29" s="1"/>
  <c r="B25" i="24"/>
  <c r="A29" s="1"/>
  <c r="AC25"/>
  <c r="AB29" s="1"/>
  <c r="BD25" i="23"/>
  <c r="BC29" s="1"/>
  <c r="B25"/>
  <c r="A29" s="1"/>
  <c r="AC25"/>
  <c r="AB29" s="1"/>
  <c r="BD25" i="22"/>
  <c r="BC29" s="1"/>
  <c r="B25"/>
  <c r="A29" s="1"/>
  <c r="AC25"/>
  <c r="AB29" s="1"/>
  <c r="BD25" i="21"/>
  <c r="BC29" s="1"/>
  <c r="B25"/>
  <c r="A29" s="1"/>
  <c r="AC25"/>
  <c r="AB29" s="1"/>
  <c r="BD25" i="15"/>
  <c r="BC29" s="1"/>
  <c r="B25"/>
  <c r="A29" s="1"/>
  <c r="AC25"/>
  <c r="AB29" s="1"/>
  <c r="BD25" i="14"/>
  <c r="BC29" s="1"/>
  <c r="B25"/>
  <c r="A29" s="1"/>
  <c r="AC25"/>
  <c r="AB29" s="1"/>
  <c r="AC24" i="12"/>
  <c r="AB28" s="1"/>
  <c r="BD25"/>
  <c r="BC29" s="1"/>
  <c r="B25"/>
  <c r="A29" s="1"/>
  <c r="AC25"/>
  <c r="AB29" s="1"/>
  <c r="BD24" i="3"/>
  <c r="BC28" s="1"/>
  <c r="E10" i="48" s="1"/>
  <c r="S10" s="1"/>
  <c r="AC24" i="3"/>
  <c r="AB28" s="1"/>
  <c r="E9" i="48" s="1"/>
  <c r="S9" s="1"/>
  <c r="BD25" i="3"/>
  <c r="BC29" s="1"/>
  <c r="AC25"/>
  <c r="AB29" s="1"/>
  <c r="B24"/>
  <c r="A28" s="1"/>
  <c r="B25"/>
  <c r="A29" s="1"/>
  <c r="CE22" i="51" l="1"/>
  <c r="CK22" s="1"/>
</calcChain>
</file>

<file path=xl/sharedStrings.xml><?xml version="1.0" encoding="utf-8"?>
<sst xmlns="http://schemas.openxmlformats.org/spreadsheetml/2006/main" count="2701" uniqueCount="88">
  <si>
    <t>,</t>
  </si>
  <si>
    <t xml:space="preserve"> 0x</t>
  </si>
  <si>
    <t xml:space="preserve">     //  </t>
  </si>
  <si>
    <t>шестн</t>
  </si>
  <si>
    <t>десятч</t>
  </si>
  <si>
    <t>проб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</si>
  <si>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</si>
  <si>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</si>
  <si>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</si>
  <si>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</si>
  <si>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</si>
  <si>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</si>
  <si>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</si>
  <si>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</si>
  <si>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</si>
  <si>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</si>
  <si>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р</t>
  </si>
  <si>
    <t>ы</t>
  </si>
  <si>
    <t>ь</t>
  </si>
  <si>
    <t>э</t>
  </si>
  <si>
    <t>ю</t>
  </si>
  <si>
    <t>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</si>
  <si>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</si>
  <si>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</si>
  <si>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</si>
  <si>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</si>
  <si>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</si>
  <si>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</si>
  <si>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</si>
  <si>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</si>
  <si>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</si>
  <si>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</si>
  <si>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</si>
  <si>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</si>
  <si>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</si>
  <si>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</si>
  <si>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</si>
  <si>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</si>
  <si>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</si>
  <si>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</si>
  <si>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</si>
  <si>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</si>
  <si>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</si>
  <si>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</si>
  <si>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</si>
  <si>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</si>
  <si>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</si>
  <si>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</si>
  <si>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</si>
  <si>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</si>
  <si>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</si>
  <si>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п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</si>
  <si>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</si>
  <si>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</si>
  <si>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</si>
  <si>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</si>
  <si>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</si>
  <si>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</si>
  <si>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</si>
  <si>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</si>
  <si>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</si>
  <si>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</si>
  <si>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</si>
  <si>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</si>
  <si>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</si>
  <si>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</si>
  <si>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</si>
  <si>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ххх</t>
  </si>
  <si>
    <t>О</t>
  </si>
  <si>
    <t>П</t>
  </si>
  <si>
    <t>Р</t>
  </si>
  <si>
    <t>/*</t>
  </si>
  <si>
    <t xml:space="preserve">*/   </t>
  </si>
  <si>
    <t>копируем и вставляем в скетч с 128 по 192 символ</t>
  </si>
  <si>
    <t xml:space="preserve">  0x07, 0x08, 0x00, 0x18, 0x00, 0x38, 0x00, 0x38, 0x00, 0xfe, 0x00, 0xfe, 0x00, 0x38, 0x00, 0x38, 0x00, 0x38, 0x00, 0x38, 0x00, 0x38, 0x00, 0x38, 0x00, 0x38, 0x00, 0x38, 0x00, 0x1e, 0x00, 0x0e, 0x00,   // char 116: </t>
  </si>
  <si>
    <t xml:space="preserve">  0x07</t>
  </si>
  <si>
    <t xml:space="preserve"> 0x08</t>
  </si>
  <si>
    <t xml:space="preserve"> 0x00</t>
  </si>
  <si>
    <t xml:space="preserve"> 0x18</t>
  </si>
  <si>
    <t xml:space="preserve"> 0x38</t>
  </si>
  <si>
    <t xml:space="preserve"> 0xfe</t>
  </si>
  <si>
    <t xml:space="preserve"> 0x1e</t>
  </si>
  <si>
    <t xml:space="preserve"> 0x0e</t>
  </si>
  <si>
    <t xml:space="preserve">   // char 116: </t>
  </si>
  <si>
    <t xml:space="preserve"> 0xff</t>
  </si>
  <si>
    <t>.</t>
  </si>
  <si>
    <t>вставить строку символа для раскрытия</t>
  </si>
  <si>
    <t xml:space="preserve">  0x0c, 0x3f, 0xc0, 0x7f, 0xe0, 0xf0, 0xf0, 0xe0, 0x70, 0xe0, 0x70, 0x00, 0xf0, 0x01, 0xe0, 0x03, 0xc0, 0x07, 0x80, 0x0f, 0x00, 0x1e, 0x00, 0x3c, 0x00, 0x78, 0x00, 0xf0, 0x70, 0xff, 0xf0, 0xff, 0xf0,   // char 50: 2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</si>
</sst>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2" borderId="0" xfId="0" applyFont="1" applyFill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/>
  </cellXfs>
  <cellStyles count="1">
    <cellStyle name="Обычный" xfId="0" builtinId="0"/>
  </cellStyles>
  <dxfs count="33"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4:CB29"/>
  <sheetViews>
    <sheetView workbookViewId="0">
      <selection activeCell="BN25" sqref="BN25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128</v>
      </c>
      <c r="Z4" t="s">
        <v>5</v>
      </c>
      <c r="AB4" s="3">
        <v>129</v>
      </c>
      <c r="BA4" t="s">
        <v>5</v>
      </c>
      <c r="BC4" s="3">
        <v>130</v>
      </c>
      <c r="CB4" t="s">
        <v>5</v>
      </c>
    </row>
    <row r="5" spans="1:80">
      <c r="A5" s="3" t="s">
        <v>16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0xF8,</v>
      </c>
      <c r="C9" t="str">
        <f t="shared" si="1"/>
        <v>248,</v>
      </c>
      <c r="D9" t="str">
        <f t="shared" si="2"/>
        <v>11111000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0x3C,</v>
      </c>
      <c r="AD9" t="str">
        <f t="shared" si="7"/>
        <v>60,</v>
      </c>
      <c r="AE9" t="str">
        <f t="shared" si="8"/>
        <v>00111100</v>
      </c>
      <c r="AF9">
        <v>0</v>
      </c>
      <c r="AG9">
        <v>0</v>
      </c>
      <c r="AH9">
        <v>1</v>
      </c>
      <c r="AI9">
        <v>1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0xFF,</v>
      </c>
      <c r="BE9" t="str">
        <f t="shared" si="13"/>
        <v>255,</v>
      </c>
      <c r="BF9" t="str">
        <f t="shared" si="14"/>
        <v>11111111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0x7E,</v>
      </c>
      <c r="AD10" t="str">
        <f t="shared" si="7"/>
        <v>126,</v>
      </c>
      <c r="AE10" t="str">
        <f t="shared" si="8"/>
        <v>01111110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0xFF,</v>
      </c>
      <c r="BE10" t="str">
        <f t="shared" si="13"/>
        <v>255,</v>
      </c>
      <c r="BF10" t="str">
        <f t="shared" si="14"/>
        <v>11111111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0xCE,</v>
      </c>
      <c r="C11" t="str">
        <f t="shared" si="1"/>
        <v>206,</v>
      </c>
      <c r="D11" t="str">
        <f t="shared" si="2"/>
        <v>11001110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0xE7,</v>
      </c>
      <c r="AD11" t="str">
        <f t="shared" si="7"/>
        <v>231,</v>
      </c>
      <c r="AE11" t="str">
        <f t="shared" si="8"/>
        <v>11100111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0x99,</v>
      </c>
      <c r="BE11" t="str">
        <f t="shared" si="13"/>
        <v>153,</v>
      </c>
      <c r="BF11" t="str">
        <f t="shared" si="14"/>
        <v>10011001</v>
      </c>
      <c r="BG11">
        <v>1</v>
      </c>
      <c r="BH11">
        <v>0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0xC3,</v>
      </c>
      <c r="AD12" t="str">
        <f t="shared" si="7"/>
        <v>195,</v>
      </c>
      <c r="AE12" t="str">
        <f t="shared" si="8"/>
        <v>11000011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0x99,</v>
      </c>
      <c r="BE12" t="str">
        <f t="shared" si="13"/>
        <v>153,</v>
      </c>
      <c r="BF12" t="str">
        <f t="shared" si="14"/>
        <v>10011001</v>
      </c>
      <c r="BG12">
        <v>1</v>
      </c>
      <c r="BH12">
        <v>0</v>
      </c>
      <c r="BI12">
        <v>0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0xC0,</v>
      </c>
      <c r="AD13" t="str">
        <f t="shared" si="7"/>
        <v>192,</v>
      </c>
      <c r="AE13" t="str">
        <f t="shared" si="8"/>
        <v>11000000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0x18,</v>
      </c>
      <c r="BE13" t="str">
        <f t="shared" si="13"/>
        <v>24,</v>
      </c>
      <c r="BF13" t="str">
        <f t="shared" si="14"/>
        <v>00011000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0xC0,</v>
      </c>
      <c r="AD14" t="str">
        <f t="shared" si="7"/>
        <v>192,</v>
      </c>
      <c r="AE14" t="str">
        <f t="shared" si="8"/>
        <v>11000000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0xC0,</v>
      </c>
      <c r="AD15" t="str">
        <f t="shared" si="7"/>
        <v>192,</v>
      </c>
      <c r="AE15" t="str">
        <f t="shared" si="8"/>
        <v>11000000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0xFC,</v>
      </c>
      <c r="C16" t="str">
        <f t="shared" si="1"/>
        <v>252,</v>
      </c>
      <c r="D16" t="str">
        <f t="shared" si="2"/>
        <v>11111100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0xC0,</v>
      </c>
      <c r="AD16" t="str">
        <f t="shared" si="7"/>
        <v>192,</v>
      </c>
      <c r="AE16" t="str">
        <f t="shared" si="8"/>
        <v>11000000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0x18,</v>
      </c>
      <c r="BE16" t="str">
        <f t="shared" si="13"/>
        <v>24,</v>
      </c>
      <c r="BF16" t="str">
        <f t="shared" si="14"/>
        <v>00011000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0xF8,</v>
      </c>
      <c r="C17" t="str">
        <f t="shared" si="1"/>
        <v>248,</v>
      </c>
      <c r="D17" t="str">
        <f t="shared" si="2"/>
        <v>11111000</v>
      </c>
      <c r="E17">
        <v>1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0xC3,</v>
      </c>
      <c r="AD17" t="str">
        <f t="shared" si="7"/>
        <v>195,</v>
      </c>
      <c r="AE17" t="str">
        <f t="shared" si="8"/>
        <v>11000011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0x18,</v>
      </c>
      <c r="BE17" t="str">
        <f t="shared" si="13"/>
        <v>24,</v>
      </c>
      <c r="BF17" t="str">
        <f t="shared" si="14"/>
        <v>00011000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0xE7,</v>
      </c>
      <c r="AD18" t="str">
        <f t="shared" si="7"/>
        <v>231,</v>
      </c>
      <c r="AE18" t="str">
        <f t="shared" si="8"/>
        <v>11100111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0x18,</v>
      </c>
      <c r="BE18" t="str">
        <f t="shared" si="13"/>
        <v>24,</v>
      </c>
      <c r="BF18" t="str">
        <f t="shared" si="14"/>
        <v>00011000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0x7E,</v>
      </c>
      <c r="AD19" t="str">
        <f t="shared" si="7"/>
        <v>126,</v>
      </c>
      <c r="AE19" t="str">
        <f t="shared" si="8"/>
        <v>01111110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0x18,</v>
      </c>
      <c r="BE19" t="str">
        <f t="shared" si="13"/>
        <v>24,</v>
      </c>
      <c r="BF19" t="str">
        <f t="shared" si="14"/>
        <v>00011000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0x3C,</v>
      </c>
      <c r="AD20" t="str">
        <f t="shared" si="7"/>
        <v>60,</v>
      </c>
      <c r="AE20" t="str">
        <f t="shared" si="8"/>
        <v>00111100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0x18,</v>
      </c>
      <c r="BE20" t="str">
        <f t="shared" si="13"/>
        <v>24,</v>
      </c>
      <c r="BF20" t="str">
        <f t="shared" si="14"/>
        <v>00011000</v>
      </c>
      <c r="BG20">
        <v>0</v>
      </c>
      <c r="BH20">
        <v>0</v>
      </c>
      <c r="BI20">
        <v>0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7,0,0,0,0,0,0,0,0,248,0,252,0,206,0,198,0,198,0,198,0,206,0,252,0,248,0,192,0,192,0,192,0,     //  р     //  128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8,0,0,0,0,0,0,0,0,60,0,126,0,231,0,195,0,192,0,192,0,192,0,192,0,195,0,231,0,126,0,60,0,     //  с     //  129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8,0,0,0,0,0,0,0,0,255,0,255,0,153,0,153,0,24,0,24,0,24,0,24,0,24,0,24,0,24,0,24,0,     //  т     //  130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0xF8, 0x00, 0xFC, 0x00, 0xCE, 0x00, 0xC6, 0x00, 0xC6, 0x00, 0xC6, 0x00, 0xCE, 0x00, 0xFC, 0x00, 0xF8, 0x00, 0xC0, 0x00, 0xC0, 0x00, 0xC0, 0x00,     //  р     //  128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0x3C, 0x00, 0x7E, 0x00, 0xE7, 0x00, 0xC3, 0x00, 0xC0, 0x00, 0xC0, 0x00, 0xC0, 0x00, 0xC0, 0x00, 0xC3, 0x00, 0xE7, 0x00, 0x7E, 0x00, 0x3C, 0x00,     //  с     //  129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0xFF, 0x00, 0xFF, 0x00, 0x99, 0x00, 0x99, 0x00, 0x18, 0x00, 0x18, 0x00, 0x18, 0x00, 0x18, 0x00, 0x18, 0x00, 0x18, 0x00, 0x18, 0x00, 0x18, 0x00,     //  т     //  130</v>
      </c>
    </row>
    <row r="28" spans="1:79">
      <c r="A28" s="1" t="str">
        <f>$B$24</f>
        <v>7,0,0,0,0,0,0,0,0,248,0,252,0,206,0,198,0,198,0,198,0,206,0,252,0,248,0,192,0,192,0,192,0,     //  р     //  128</v>
      </c>
      <c r="E28" t="s">
        <v>4</v>
      </c>
      <c r="AB28" s="1" t="str">
        <f>$AC$24</f>
        <v>8,0,0,0,0,0,0,0,0,60,0,126,0,231,0,195,0,192,0,192,0,192,0,192,0,195,0,231,0,126,0,60,0,     //  с     //  129</v>
      </c>
      <c r="AF28" t="s">
        <v>4</v>
      </c>
      <c r="BC28" s="1" t="str">
        <f>$BD$24</f>
        <v>8,0,0,0,0,0,0,0,0,255,0,255,0,153,0,153,0,24,0,24,0,24,0,24,0,24,0,24,0,24,0,24,0,     //  т     //  130</v>
      </c>
      <c r="BG28" t="s">
        <v>4</v>
      </c>
    </row>
    <row r="29" spans="1:79">
      <c r="A29" s="2" t="str">
        <f>$B$25</f>
        <v xml:space="preserve"> 0x07, 0x00, 0x00, 0x00, 0x00, 0x00, 0x00, 0x00, 0x00, 0xF8, 0x00, 0xFC, 0x00, 0xCE, 0x00, 0xC6, 0x00, 0xC6, 0x00, 0xC6, 0x00, 0xCE, 0x00, 0xFC, 0x00, 0xF8, 0x00, 0xC0, 0x00, 0xC0, 0x00, 0xC0, 0x00,     //  р     //  128</v>
      </c>
      <c r="E29" t="s">
        <v>3</v>
      </c>
      <c r="AB29" s="2" t="str">
        <f>$AC$25</f>
        <v xml:space="preserve"> 0x08, 0x00, 0x00, 0x00, 0x00, 0x00, 0x00, 0x00, 0x00, 0x3C, 0x00, 0x7E, 0x00, 0xE7, 0x00, 0xC3, 0x00, 0xC0, 0x00, 0xC0, 0x00, 0xC0, 0x00, 0xC0, 0x00, 0xC3, 0x00, 0xE7, 0x00, 0x7E, 0x00, 0x3C, 0x00,     //  с     //  129</v>
      </c>
      <c r="AF29" t="s">
        <v>3</v>
      </c>
      <c r="BC29" s="2" t="str">
        <f>$BD$25</f>
        <v xml:space="preserve"> 0x08, 0x00, 0x00, 0x00, 0x00, 0x00, 0x00, 0x00, 0x00, 0xFF, 0x00, 0xFF, 0x00, 0x99, 0x00, 0x99, 0x00, 0x18, 0x00, 0x18, 0x00, 0x18, 0x00, 0x18, 0x00, 0x18, 0x00, 0x18, 0x00, 0x18, 0x00, 0x18, 0x00,     //  т     //  130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9"/>
  <dimension ref="A4:CB29"/>
  <sheetViews>
    <sheetView workbookViewId="0">
      <selection activeCell="BK27" sqref="BK27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131</v>
      </c>
      <c r="Z4" t="s">
        <v>5</v>
      </c>
      <c r="AB4" s="3">
        <v>132</v>
      </c>
      <c r="BA4" t="s">
        <v>5</v>
      </c>
      <c r="BC4" s="3">
        <v>133</v>
      </c>
      <c r="CB4" t="s">
        <v>5</v>
      </c>
    </row>
    <row r="5" spans="1:80">
      <c r="A5" s="3" t="s">
        <v>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0x0C,</v>
      </c>
      <c r="AD9" t="str">
        <f t="shared" si="7"/>
        <v>12,</v>
      </c>
      <c r="AE9" t="str">
        <f t="shared" si="8"/>
        <v>00001100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0x3F,</v>
      </c>
      <c r="AD10" t="str">
        <f t="shared" si="7"/>
        <v>63,</v>
      </c>
      <c r="AE10" t="str">
        <f t="shared" si="8"/>
        <v>00111111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0x7F,</v>
      </c>
      <c r="AD11" t="str">
        <f t="shared" si="7"/>
        <v>127,</v>
      </c>
      <c r="AE11" t="str">
        <f t="shared" si="8"/>
        <v>01111111</v>
      </c>
      <c r="AF11">
        <v>0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0xED,</v>
      </c>
      <c r="AD12" t="str">
        <f t="shared" si="7"/>
        <v>237,</v>
      </c>
      <c r="AE12" t="str">
        <f t="shared" si="8"/>
        <v>11101101</v>
      </c>
      <c r="AF12">
        <v>1</v>
      </c>
      <c r="AG12">
        <v>1</v>
      </c>
      <c r="AH12">
        <v>1</v>
      </c>
      <c r="AI12">
        <v>0</v>
      </c>
      <c r="AJ12">
        <v>1</v>
      </c>
      <c r="AK12">
        <v>1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0x66,</v>
      </c>
      <c r="BE12" t="str">
        <f t="shared" si="13"/>
        <v>102,</v>
      </c>
      <c r="BF12" t="str">
        <f t="shared" si="14"/>
        <v>01100110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0xCC,</v>
      </c>
      <c r="AD13" t="str">
        <f t="shared" si="7"/>
        <v>204,</v>
      </c>
      <c r="AE13" t="str">
        <f t="shared" si="8"/>
        <v>11001100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0x24,</v>
      </c>
      <c r="BE13" t="str">
        <f t="shared" si="13"/>
        <v>36,</v>
      </c>
      <c r="BF13" t="str">
        <f t="shared" si="14"/>
        <v>00100100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0xCC,</v>
      </c>
      <c r="AD14" t="str">
        <f t="shared" si="7"/>
        <v>204,</v>
      </c>
      <c r="AE14" t="str">
        <f t="shared" si="8"/>
        <v>11001100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1</v>
      </c>
      <c r="AL14">
        <v>0</v>
      </c>
      <c r="AM14">
        <v>0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0x3E,</v>
      </c>
      <c r="C15" t="str">
        <f t="shared" si="1"/>
        <v>62,</v>
      </c>
      <c r="D15" t="str">
        <f t="shared" si="2"/>
        <v>00111110</v>
      </c>
      <c r="E15">
        <v>0</v>
      </c>
      <c r="F15">
        <v>0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0xCC,</v>
      </c>
      <c r="AD15" t="str">
        <f t="shared" si="7"/>
        <v>204,</v>
      </c>
      <c r="AE15" t="str">
        <f t="shared" si="8"/>
        <v>11001100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0x0C,</v>
      </c>
      <c r="C16" t="str">
        <f t="shared" si="1"/>
        <v>12,</v>
      </c>
      <c r="D16" t="str">
        <f t="shared" si="2"/>
        <v>00001100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0xCC,</v>
      </c>
      <c r="AD16" t="str">
        <f t="shared" si="7"/>
        <v>204,</v>
      </c>
      <c r="AE16" t="str">
        <f t="shared" si="8"/>
        <v>11001100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0x24,</v>
      </c>
      <c r="BE16" t="str">
        <f t="shared" si="13"/>
        <v>36,</v>
      </c>
      <c r="BF16" t="str">
        <f t="shared" si="14"/>
        <v>00100100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0x18,</v>
      </c>
      <c r="C17" t="str">
        <f t="shared" si="1"/>
        <v>24,</v>
      </c>
      <c r="D17" t="str">
        <f t="shared" si="2"/>
        <v>00011000</v>
      </c>
      <c r="E17">
        <v>0</v>
      </c>
      <c r="F17">
        <v>0</v>
      </c>
      <c r="G17">
        <v>0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0xED,</v>
      </c>
      <c r="AD17" t="str">
        <f t="shared" si="7"/>
        <v>237,</v>
      </c>
      <c r="AE17" t="str">
        <f t="shared" si="8"/>
        <v>11101101</v>
      </c>
      <c r="AF17">
        <v>1</v>
      </c>
      <c r="AG17">
        <v>1</v>
      </c>
      <c r="AH17">
        <v>1</v>
      </c>
      <c r="AI17">
        <v>0</v>
      </c>
      <c r="AJ17">
        <v>1</v>
      </c>
      <c r="AK17">
        <v>1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0x30,</v>
      </c>
      <c r="C18" t="str">
        <f t="shared" si="1"/>
        <v>48,</v>
      </c>
      <c r="D18" t="str">
        <f t="shared" si="2"/>
        <v>00110000</v>
      </c>
      <c r="E18">
        <v>0</v>
      </c>
      <c r="F18">
        <v>0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0x7F,</v>
      </c>
      <c r="AD18" t="str">
        <f t="shared" si="7"/>
        <v>127,</v>
      </c>
      <c r="AE18" t="str">
        <f t="shared" si="8"/>
        <v>01111111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0xC3,</v>
      </c>
      <c r="BE18" t="str">
        <f t="shared" si="13"/>
        <v>195,</v>
      </c>
      <c r="BF18" t="str">
        <f t="shared" si="14"/>
        <v>11000011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0x3F,</v>
      </c>
      <c r="AD19" t="str">
        <f t="shared" si="7"/>
        <v>63,</v>
      </c>
      <c r="AE19" t="str">
        <f t="shared" si="8"/>
        <v>00111111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0xC3,</v>
      </c>
      <c r="BE19" t="str">
        <f t="shared" si="13"/>
        <v>195,</v>
      </c>
      <c r="BF19" t="str">
        <f t="shared" si="14"/>
        <v>11000011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0x0C,</v>
      </c>
      <c r="AD20" t="str">
        <f t="shared" si="7"/>
        <v>12,</v>
      </c>
      <c r="AE20" t="str">
        <f t="shared" si="8"/>
        <v>00001100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7,0,0,0,0,0,0,0,0,198,0,198,0,198,0,198,0,198,0,102,0,62,0,12,0,24,0,48,0,224,0,192,0,     //  у     //  131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10,0,0,0,0,0,0,0,0,12,0,63,0,127,128,237,192,204,192,204,192,204,192,204,192,237,192,127,128,63,0,12,0,     //  ф     //  132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8,0,0,0,0,0,0,0,0,195,0,195,0,195,0,102,0,36,0,24,0,24,0,36,0,102,0,195,0,195,0,195,0,     //  х     //  133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0xC6, 0x00, 0xC6, 0x00, 0xC6, 0x00, 0xC6, 0x00, 0xC6, 0x00, 0x66, 0x00, 0x3E, 0x00, 0x0C, 0x00, 0x18, 0x00, 0x30, 0x00, 0xE0, 0x00, 0xC0, 0x00,     //  у     //  131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0x0C, 0x00, 0x3F, 0x00, 0x7F, 0x80, 0xED, 0xC0, 0xCC, 0xC0, 0xCC, 0xC0, 0xCC, 0xC0, 0xCC, 0xC0, 0xED, 0xC0, 0x7F, 0x80, 0x3F, 0x00, 0x0C, 0x00,     //  ф     //  132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0x66, 0x00, 0x24, 0x00, 0x18, 0x00, 0x18, 0x00, 0x24, 0x00, 0x66, 0x00, 0xC3, 0x00, 0xC3, 0x00, 0xC3, 0x00,     //  х     //  133</v>
      </c>
    </row>
    <row r="28" spans="1:79">
      <c r="A28" s="1" t="str">
        <f>$B$24</f>
        <v>7,0,0,0,0,0,0,0,0,198,0,198,0,198,0,198,0,198,0,102,0,62,0,12,0,24,0,48,0,224,0,192,0,     //  у     //  131</v>
      </c>
      <c r="E28" t="s">
        <v>4</v>
      </c>
      <c r="AB28" s="1" t="str">
        <f>$AC$24</f>
        <v>10,0,0,0,0,0,0,0,0,12,0,63,0,127,128,237,192,204,192,204,192,204,192,204,192,237,192,127,128,63,0,12,0,     //  ф     //  132</v>
      </c>
      <c r="AF28" t="s">
        <v>4</v>
      </c>
      <c r="BC28" s="1" t="str">
        <f>$BD$24</f>
        <v>8,0,0,0,0,0,0,0,0,195,0,195,0,195,0,102,0,36,0,24,0,24,0,36,0,102,0,195,0,195,0,195,0,     //  х     //  133</v>
      </c>
      <c r="BG28" t="s">
        <v>4</v>
      </c>
    </row>
    <row r="29" spans="1:79">
      <c r="A29" s="2" t="str">
        <f>$B$25</f>
        <v xml:space="preserve"> 0x07, 0x00, 0x00, 0x00, 0x00, 0x00, 0x00, 0x00, 0x00, 0xC6, 0x00, 0xC6, 0x00, 0xC6, 0x00, 0xC6, 0x00, 0xC6, 0x00, 0x66, 0x00, 0x3E, 0x00, 0x0C, 0x00, 0x18, 0x00, 0x30, 0x00, 0xE0, 0x00, 0xC0, 0x00,     //  у     //  131</v>
      </c>
      <c r="E29" t="s">
        <v>3</v>
      </c>
      <c r="AB29" s="2" t="str">
        <f>$AC$25</f>
        <v xml:space="preserve"> 0x0A, 0x00, 0x00, 0x00, 0x00, 0x00, 0x00, 0x00, 0x00, 0x0C, 0x00, 0x3F, 0x00, 0x7F, 0x80, 0xED, 0xC0, 0xCC, 0xC0, 0xCC, 0xC0, 0xCC, 0xC0, 0xCC, 0xC0, 0xED, 0xC0, 0x7F, 0x80, 0x3F, 0x00, 0x0C, 0x00,     //  ф     //  132</v>
      </c>
      <c r="AF29" t="s">
        <v>3</v>
      </c>
      <c r="BC29" s="2" t="str">
        <f>$BD$25</f>
        <v xml:space="preserve"> 0x08, 0x00, 0x00, 0x00, 0x00, 0x00, 0x00, 0x00, 0x00, 0xC3, 0x00, 0xC3, 0x00, 0xC3, 0x00, 0x66, 0x00, 0x24, 0x00, 0x18, 0x00, 0x18, 0x00, 0x24, 0x00, 0x66, 0x00, 0xC3, 0x00, 0xC3, 0x00, 0xC3, 0x00,     //  х     //  133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0"/>
  <dimension ref="A4:CB29"/>
  <sheetViews>
    <sheetView workbookViewId="0">
      <selection activeCell="BL25" sqref="BL25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134</v>
      </c>
      <c r="Z4" t="s">
        <v>5</v>
      </c>
      <c r="AB4" s="3">
        <v>135</v>
      </c>
      <c r="BA4" t="s">
        <v>5</v>
      </c>
      <c r="BC4" s="3">
        <v>136</v>
      </c>
      <c r="CB4" t="s">
        <v>5</v>
      </c>
    </row>
    <row r="5" spans="1:80">
      <c r="A5" s="3" t="s">
        <v>11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13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0xC3,</v>
      </c>
      <c r="BE12" t="str">
        <f t="shared" si="13"/>
        <v>195,</v>
      </c>
      <c r="BF12" t="str">
        <f t="shared" si="14"/>
        <v>11000011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0xDB,</v>
      </c>
      <c r="BE13" t="str">
        <f t="shared" si="13"/>
        <v>219,</v>
      </c>
      <c r="BF13" t="str">
        <f t="shared" si="14"/>
        <v>11011011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0xDB,</v>
      </c>
      <c r="BE14" t="str">
        <f t="shared" si="13"/>
        <v>219,</v>
      </c>
      <c r="BF14" t="str">
        <f t="shared" si="14"/>
        <v>11011011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0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0xE6,</v>
      </c>
      <c r="AD15" t="str">
        <f t="shared" si="7"/>
        <v>230,</v>
      </c>
      <c r="AE15" t="str">
        <f t="shared" si="8"/>
        <v>11100110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0xDB,</v>
      </c>
      <c r="BE15" t="str">
        <f t="shared" si="13"/>
        <v>219,</v>
      </c>
      <c r="BF15" t="str">
        <f t="shared" si="14"/>
        <v>11011011</v>
      </c>
      <c r="BG15">
        <v>1</v>
      </c>
      <c r="BH15">
        <v>1</v>
      </c>
      <c r="BI15">
        <v>0</v>
      </c>
      <c r="BJ15">
        <v>1</v>
      </c>
      <c r="BK15">
        <v>1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0x7E,</v>
      </c>
      <c r="AD16" t="str">
        <f t="shared" si="7"/>
        <v>126,</v>
      </c>
      <c r="AE16" t="str">
        <f t="shared" si="8"/>
        <v>01111110</v>
      </c>
      <c r="AF16">
        <v>0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0xDB,</v>
      </c>
      <c r="BE16" t="str">
        <f t="shared" si="13"/>
        <v>219,</v>
      </c>
      <c r="BF16" t="str">
        <f t="shared" si="14"/>
        <v>11011011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0x3E,</v>
      </c>
      <c r="AD17" t="str">
        <f t="shared" si="7"/>
        <v>62,</v>
      </c>
      <c r="AE17" t="str">
        <f t="shared" si="8"/>
        <v>00111110</v>
      </c>
      <c r="AF17">
        <v>0</v>
      </c>
      <c r="AG17">
        <v>0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0xDB,</v>
      </c>
      <c r="BE17" t="str">
        <f t="shared" si="13"/>
        <v>219,</v>
      </c>
      <c r="BF17" t="str">
        <f t="shared" si="14"/>
        <v>11011011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0xFE,</v>
      </c>
      <c r="C18" t="str">
        <f t="shared" si="1"/>
        <v>254,</v>
      </c>
      <c r="D18" t="str">
        <f t="shared" si="2"/>
        <v>11111110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0x06,</v>
      </c>
      <c r="AD18" t="str">
        <f t="shared" si="7"/>
        <v>6,</v>
      </c>
      <c r="AE18" t="str">
        <f t="shared" si="8"/>
        <v>00000110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0x06,</v>
      </c>
      <c r="AD19" t="str">
        <f t="shared" si="7"/>
        <v>6,</v>
      </c>
      <c r="AE19" t="str">
        <f t="shared" si="8"/>
        <v>00000110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0x07,</v>
      </c>
      <c r="C20" t="str">
        <f t="shared" si="1"/>
        <v>7,</v>
      </c>
      <c r="D20" t="str">
        <f t="shared" si="2"/>
        <v>00000111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0x06,</v>
      </c>
      <c r="AD20" t="str">
        <f t="shared" si="7"/>
        <v>6,</v>
      </c>
      <c r="AE20" t="str">
        <f t="shared" si="8"/>
        <v>00000110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0xFF,</v>
      </c>
      <c r="BE20" t="str">
        <f t="shared" si="13"/>
        <v>255,</v>
      </c>
      <c r="BF20" t="str">
        <f t="shared" si="14"/>
        <v>11111111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8,0,0,0,0,0,0,0,0,198,0,198,0,198,0,198,0,198,0,198,0,198,0,198,0,198,0,254,0,255,0,7,0,     //  ц     //  134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7,0,0,0,0,0,0,0,0,198,0,198,0,198,0,198,0,198,0,198,0,230,0,126,0,62,0,6,0,6,0,6,0,     //  ч     //  135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8,0,0,0,0,0,0,0,0,195,0,195,0,195,0,195,0,219,0,219,0,219,0,219,0,219,0,255,0,255,0,255,0,     //  ш     //  136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0x00, 0x00, 0x00, 0x00, 0x00, 0x00, 0xC6, 0x00, 0xC6, 0x00, 0xC6, 0x00, 0xC6, 0x00, 0xC6, 0x00, 0xC6, 0x00, 0xC6, 0x00, 0xC6, 0x00, 0xC6, 0x00, 0xFE, 0x00, 0xFF, 0x00, 0x07, 0x00,     //  ц     //  134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0xC6, 0x00, 0xC6, 0x00, 0xC6, 0x00, 0xE6, 0x00, 0x7E, 0x00, 0x3E, 0x00, 0x06, 0x00, 0x06, 0x00, 0x06, 0x00,     //  ч     //  135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0xC3, 0x00, 0xDB, 0x00, 0xDB, 0x00, 0xDB, 0x00, 0xDB, 0x00, 0xDB, 0x00, 0xFF, 0x00, 0xFF, 0x00, 0xFF, 0x00,     //  ш     //  136</v>
      </c>
    </row>
    <row r="28" spans="1:79">
      <c r="A28" s="1" t="str">
        <f>$B$24</f>
        <v>8,0,0,0,0,0,0,0,0,198,0,198,0,198,0,198,0,198,0,198,0,198,0,198,0,198,0,254,0,255,0,7,0,     //  ц     //  134</v>
      </c>
      <c r="E28" t="s">
        <v>4</v>
      </c>
      <c r="AB28" s="1" t="str">
        <f>$AC$24</f>
        <v>7,0,0,0,0,0,0,0,0,198,0,198,0,198,0,198,0,198,0,198,0,230,0,126,0,62,0,6,0,6,0,6,0,     //  ч     //  135</v>
      </c>
      <c r="AF28" t="s">
        <v>4</v>
      </c>
      <c r="BC28" s="1" t="str">
        <f>$BD$24</f>
        <v>8,0,0,0,0,0,0,0,0,195,0,195,0,195,0,195,0,219,0,219,0,219,0,219,0,219,0,255,0,255,0,255,0,     //  ш     //  136</v>
      </c>
      <c r="BG28" t="s">
        <v>4</v>
      </c>
    </row>
    <row r="29" spans="1:79">
      <c r="A29" s="2" t="str">
        <f>$B$25</f>
        <v xml:space="preserve"> 0x08, 0x00, 0x00, 0x00, 0x00, 0x00, 0x00, 0x00, 0x00, 0xC6, 0x00, 0xC6, 0x00, 0xC6, 0x00, 0xC6, 0x00, 0xC6, 0x00, 0xC6, 0x00, 0xC6, 0x00, 0xC6, 0x00, 0xC6, 0x00, 0xFE, 0x00, 0xFF, 0x00, 0x07, 0x00,     //  ц     //  134</v>
      </c>
      <c r="E29" t="s">
        <v>3</v>
      </c>
      <c r="AB29" s="2" t="str">
        <f>$AC$25</f>
        <v xml:space="preserve"> 0x07, 0x00, 0x00, 0x00, 0x00, 0x00, 0x00, 0x00, 0x00, 0xC6, 0x00, 0xC6, 0x00, 0xC6, 0x00, 0xC6, 0x00, 0xC6, 0x00, 0xC6, 0x00, 0xE6, 0x00, 0x7E, 0x00, 0x3E, 0x00, 0x06, 0x00, 0x06, 0x00, 0x06, 0x00,     //  ч     //  135</v>
      </c>
      <c r="AF29" t="s">
        <v>3</v>
      </c>
      <c r="BC29" s="2" t="str">
        <f>$BD$25</f>
        <v xml:space="preserve"> 0x08, 0x00, 0x00, 0x00, 0x00, 0x00, 0x00, 0x00, 0x00, 0xC3, 0x00, 0xC3, 0x00, 0xC3, 0x00, 0xC3, 0x00, 0xDB, 0x00, 0xDB, 0x00, 0xDB, 0x00, 0xDB, 0x00, 0xDB, 0x00, 0xFF, 0x00, 0xFF, 0x00, 0xFF, 0x00,     //  ш     //  136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4:CB29"/>
  <sheetViews>
    <sheetView topLeftCell="F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137</v>
      </c>
      <c r="Z4" t="s">
        <v>5</v>
      </c>
      <c r="AB4" s="3">
        <v>138</v>
      </c>
      <c r="BA4" t="s">
        <v>5</v>
      </c>
      <c r="BC4" s="3">
        <v>139</v>
      </c>
      <c r="CB4" t="s">
        <v>5</v>
      </c>
    </row>
    <row r="5" spans="1:80">
      <c r="A5" s="3" t="s">
        <v>14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15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0xC3,</v>
      </c>
      <c r="C9" t="str">
        <f t="shared" si="1"/>
        <v>195,</v>
      </c>
      <c r="D9" t="str">
        <f t="shared" si="2"/>
        <v>11000011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0xC1,</v>
      </c>
      <c r="BE9" t="str">
        <f t="shared" si="13"/>
        <v>193,</v>
      </c>
      <c r="BF9" t="str">
        <f t="shared" si="14"/>
        <v>11000001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0xC3,</v>
      </c>
      <c r="C10" t="str">
        <f t="shared" si="1"/>
        <v>195,</v>
      </c>
      <c r="D10" t="str">
        <f t="shared" si="2"/>
        <v>11000011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0xC1,</v>
      </c>
      <c r="BE10" t="str">
        <f t="shared" si="13"/>
        <v>193,</v>
      </c>
      <c r="BF10" t="str">
        <f t="shared" si="14"/>
        <v>11000001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0xC3,</v>
      </c>
      <c r="C11" t="str">
        <f t="shared" si="1"/>
        <v>195,</v>
      </c>
      <c r="D11" t="str">
        <f t="shared" si="2"/>
        <v>11000011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0x60,</v>
      </c>
      <c r="AD11" t="str">
        <f t="shared" si="7"/>
        <v>96,</v>
      </c>
      <c r="AE11" t="str">
        <f t="shared" si="8"/>
        <v>01100000</v>
      </c>
      <c r="AF11">
        <v>0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0xC1,</v>
      </c>
      <c r="BE11" t="str">
        <f t="shared" si="13"/>
        <v>193,</v>
      </c>
      <c r="BF11" t="str">
        <f t="shared" si="14"/>
        <v>11000001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0xC3,</v>
      </c>
      <c r="C12" t="str">
        <f t="shared" si="1"/>
        <v>195,</v>
      </c>
      <c r="D12" t="str">
        <f t="shared" si="2"/>
        <v>11000011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0x7C,</v>
      </c>
      <c r="AD12" t="str">
        <f t="shared" si="7"/>
        <v>124,</v>
      </c>
      <c r="AE12" t="str">
        <f t="shared" si="8"/>
        <v>01111100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0xF1,</v>
      </c>
      <c r="BE12" t="str">
        <f t="shared" si="13"/>
        <v>241,</v>
      </c>
      <c r="BF12" t="str">
        <f t="shared" si="14"/>
        <v>11110001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0xDB,</v>
      </c>
      <c r="C13" t="str">
        <f t="shared" si="1"/>
        <v>219,</v>
      </c>
      <c r="D13" t="str">
        <f t="shared" si="2"/>
        <v>11011011</v>
      </c>
      <c r="E13">
        <v>1</v>
      </c>
      <c r="F13">
        <v>1</v>
      </c>
      <c r="G13">
        <v>0</v>
      </c>
      <c r="H13">
        <v>1</v>
      </c>
      <c r="I13">
        <v>1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0x7E,</v>
      </c>
      <c r="AD13" t="str">
        <f t="shared" si="7"/>
        <v>126,</v>
      </c>
      <c r="AE13" t="str">
        <f t="shared" si="8"/>
        <v>01111110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0xF9,</v>
      </c>
      <c r="BE13" t="str">
        <f t="shared" si="13"/>
        <v>249,</v>
      </c>
      <c r="BF13" t="str">
        <f t="shared" si="14"/>
        <v>11111001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0</v>
      </c>
      <c r="BM13">
        <v>0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0xDB,</v>
      </c>
      <c r="C14" t="str">
        <f t="shared" si="1"/>
        <v>219,</v>
      </c>
      <c r="D14" t="str">
        <f t="shared" si="2"/>
        <v>11011011</v>
      </c>
      <c r="E14">
        <v>1</v>
      </c>
      <c r="F14">
        <v>1</v>
      </c>
      <c r="G14">
        <v>0</v>
      </c>
      <c r="H14">
        <v>1</v>
      </c>
      <c r="I14">
        <v>1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0x67,</v>
      </c>
      <c r="AD14" t="str">
        <f t="shared" si="7"/>
        <v>103,</v>
      </c>
      <c r="AE14" t="str">
        <f t="shared" si="8"/>
        <v>01100111</v>
      </c>
      <c r="AF14">
        <v>0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0xDD,</v>
      </c>
      <c r="BE14" t="str">
        <f t="shared" si="13"/>
        <v>221,</v>
      </c>
      <c r="BF14" t="str">
        <f t="shared" si="14"/>
        <v>11011101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0xDB,</v>
      </c>
      <c r="C15" t="str">
        <f t="shared" si="1"/>
        <v>219,</v>
      </c>
      <c r="D15" t="str">
        <f t="shared" si="2"/>
        <v>11011011</v>
      </c>
      <c r="E15">
        <v>1</v>
      </c>
      <c r="F15">
        <v>1</v>
      </c>
      <c r="G15">
        <v>0</v>
      </c>
      <c r="H15">
        <v>1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0x63,</v>
      </c>
      <c r="AD15" t="str">
        <f t="shared" si="7"/>
        <v>99,</v>
      </c>
      <c r="AE15" t="str">
        <f t="shared" si="8"/>
        <v>01100011</v>
      </c>
      <c r="AF15">
        <v>0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0xCD,</v>
      </c>
      <c r="BE15" t="str">
        <f t="shared" si="13"/>
        <v>205,</v>
      </c>
      <c r="BF15" t="str">
        <f t="shared" si="14"/>
        <v>11001101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0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0xDB,</v>
      </c>
      <c r="C16" t="str">
        <f t="shared" si="1"/>
        <v>219,</v>
      </c>
      <c r="D16" t="str">
        <f t="shared" si="2"/>
        <v>11011011</v>
      </c>
      <c r="E16">
        <v>1</v>
      </c>
      <c r="F16">
        <v>1</v>
      </c>
      <c r="G16">
        <v>0</v>
      </c>
      <c r="H16">
        <v>1</v>
      </c>
      <c r="I16">
        <v>1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0x63,</v>
      </c>
      <c r="AD16" t="str">
        <f t="shared" si="7"/>
        <v>99,</v>
      </c>
      <c r="AE16" t="str">
        <f t="shared" si="8"/>
        <v>01100011</v>
      </c>
      <c r="AF16">
        <v>0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0xCD,</v>
      </c>
      <c r="BE16" t="str">
        <f t="shared" si="13"/>
        <v>205,</v>
      </c>
      <c r="BF16" t="str">
        <f t="shared" si="14"/>
        <v>11001101</v>
      </c>
      <c r="BG16">
        <v>1</v>
      </c>
      <c r="BH16">
        <v>1</v>
      </c>
      <c r="BI16">
        <v>0</v>
      </c>
      <c r="BJ16">
        <v>0</v>
      </c>
      <c r="BK16">
        <v>1</v>
      </c>
      <c r="BL16">
        <v>1</v>
      </c>
      <c r="BM16">
        <v>0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0xFF,</v>
      </c>
      <c r="C17" t="str">
        <f t="shared" si="1"/>
        <v>255,</v>
      </c>
      <c r="D17" t="str">
        <f t="shared" si="2"/>
        <v>11111111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0x63,</v>
      </c>
      <c r="AD17" t="str">
        <f t="shared" si="7"/>
        <v>99,</v>
      </c>
      <c r="AE17" t="str">
        <f t="shared" si="8"/>
        <v>01100011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0xCD,</v>
      </c>
      <c r="BE17" t="str">
        <f t="shared" si="13"/>
        <v>205,</v>
      </c>
      <c r="BF17" t="str">
        <f t="shared" si="14"/>
        <v>11001101</v>
      </c>
      <c r="BG17">
        <v>1</v>
      </c>
      <c r="BH17">
        <v>1</v>
      </c>
      <c r="BI17">
        <v>0</v>
      </c>
      <c r="BJ17">
        <v>0</v>
      </c>
      <c r="BK17">
        <v>1</v>
      </c>
      <c r="BL17">
        <v>1</v>
      </c>
      <c r="BM17">
        <v>0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0xFF,</v>
      </c>
      <c r="C18" t="str">
        <f t="shared" si="1"/>
        <v>255,</v>
      </c>
      <c r="D18" t="str">
        <f t="shared" si="2"/>
        <v>11111111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0x67,</v>
      </c>
      <c r="AD18" t="str">
        <f t="shared" si="7"/>
        <v>103,</v>
      </c>
      <c r="AE18" t="str">
        <f t="shared" si="8"/>
        <v>01100111</v>
      </c>
      <c r="AF18">
        <v>0</v>
      </c>
      <c r="AG18">
        <v>1</v>
      </c>
      <c r="AH18">
        <v>1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0xDD,</v>
      </c>
      <c r="BE18" t="str">
        <f t="shared" si="13"/>
        <v>221,</v>
      </c>
      <c r="BF18" t="str">
        <f t="shared" si="14"/>
        <v>11011101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1</v>
      </c>
      <c r="BM18">
        <v>0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0x7E,</v>
      </c>
      <c r="AD19" t="str">
        <f t="shared" si="7"/>
        <v>126,</v>
      </c>
      <c r="AE19" t="str">
        <f t="shared" si="8"/>
        <v>01111110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0xF9,</v>
      </c>
      <c r="BE19" t="str">
        <f t="shared" si="13"/>
        <v>249,</v>
      </c>
      <c r="BF19" t="str">
        <f t="shared" si="14"/>
        <v>11111001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0x03,</v>
      </c>
      <c r="C20" t="str">
        <f t="shared" si="1"/>
        <v>3,</v>
      </c>
      <c r="D20" t="str">
        <f t="shared" si="2"/>
        <v>00000011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10000000</v>
      </c>
      <c r="V20" t="str">
        <f t="shared" si="4"/>
        <v>128,</v>
      </c>
      <c r="W20" t="str">
        <f t="shared" si="5"/>
        <v xml:space="preserve"> 0x80,</v>
      </c>
      <c r="X20" t="s">
        <v>0</v>
      </c>
      <c r="Y20" t="s">
        <v>1</v>
      </c>
      <c r="AC20" t="str">
        <f t="shared" si="6"/>
        <v xml:space="preserve"> 0x7C,</v>
      </c>
      <c r="AD20" t="str">
        <f t="shared" si="7"/>
        <v>124,</v>
      </c>
      <c r="AE20" t="str">
        <f t="shared" si="8"/>
        <v>01111100</v>
      </c>
      <c r="AF20">
        <v>0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0xF1,</v>
      </c>
      <c r="BE20" t="str">
        <f t="shared" si="13"/>
        <v>241,</v>
      </c>
      <c r="BF20" t="str">
        <f t="shared" si="14"/>
        <v>11110001</v>
      </c>
      <c r="BG20">
        <v>1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0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9,0,0,0,0,0,0,0,0,195,0,195,0,195,0,195,0,219,0,219,0,219,0,219,0,255,0,255,0,255,128,3,128,     //  щ     //  137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8,0,0,0,0,0,0,0,0,224,0,224,0,96,0,124,0,126,0,103,0,99,0,99,0,99,0,103,0,126,0,124,0,     //  ъ     //  138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8,0,0,0,0,0,0,0,0,193,128,193,128,193,128,241,128,249,128,221,128,205,128,205,128,205,128,221,128,249,128,241,128,     //  ы     //  139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0x00, 0x00, 0x00, 0x00, 0x00, 0x00, 0x00, 0x00, 0xC3, 0x00, 0xC3, 0x00, 0xC3, 0x00, 0xC3, 0x00, 0xDB, 0x00, 0xDB, 0x00, 0xDB, 0x00, 0xDB, 0x00, 0xFF, 0x00, 0xFF, 0x00, 0xFF, 0x80, 0x03, 0x80,     //  щ     //  137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0xE0, 0x00, 0xE0, 0x00, 0x60, 0x00, 0x7C, 0x00, 0x7E, 0x00, 0x67, 0x00, 0x63, 0x00, 0x63, 0x00, 0x63, 0x00, 0x67, 0x00, 0x7E, 0x00, 0x7C, 0x00,     //  ъ     //  138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0xC1, 0x80, 0xC1, 0x80, 0xC1, 0x80, 0xF1, 0x80, 0xF9, 0x80, 0xDD, 0x80, 0xCD, 0x80, 0xCD, 0x80, 0xCD, 0x80, 0xDD, 0x80, 0xF9, 0x80, 0xF1, 0x80,     //  ы     //  139</v>
      </c>
    </row>
    <row r="28" spans="1:79">
      <c r="A28" s="1" t="str">
        <f>$B$24</f>
        <v>9,0,0,0,0,0,0,0,0,195,0,195,0,195,0,195,0,219,0,219,0,219,0,219,0,255,0,255,0,255,128,3,128,     //  щ     //  137</v>
      </c>
      <c r="E28" t="s">
        <v>4</v>
      </c>
      <c r="AB28" s="1" t="str">
        <f>$AC$24</f>
        <v>8,0,0,0,0,0,0,0,0,224,0,224,0,96,0,124,0,126,0,103,0,99,0,99,0,99,0,103,0,126,0,124,0,     //  ъ     //  138</v>
      </c>
      <c r="AF28" t="s">
        <v>4</v>
      </c>
      <c r="BC28" s="1" t="str">
        <f>$BD$24</f>
        <v>8,0,0,0,0,0,0,0,0,193,128,193,128,193,128,241,128,249,128,221,128,205,128,205,128,205,128,221,128,249,128,241,128,     //  ы     //  139</v>
      </c>
      <c r="BG28" t="s">
        <v>4</v>
      </c>
    </row>
    <row r="29" spans="1:79">
      <c r="A29" s="2" t="str">
        <f>$B$25</f>
        <v xml:space="preserve"> 0x09, 0x00, 0x00, 0x00, 0x00, 0x00, 0x00, 0x00, 0x00, 0xC3, 0x00, 0xC3, 0x00, 0xC3, 0x00, 0xC3, 0x00, 0xDB, 0x00, 0xDB, 0x00, 0xDB, 0x00, 0xDB, 0x00, 0xFF, 0x00, 0xFF, 0x00, 0xFF, 0x80, 0x03, 0x80,     //  щ     //  137</v>
      </c>
      <c r="E29" t="s">
        <v>3</v>
      </c>
      <c r="AB29" s="2" t="str">
        <f>$AC$25</f>
        <v xml:space="preserve"> 0x08, 0x00, 0x00, 0x00, 0x00, 0x00, 0x00, 0x00, 0x00, 0xE0, 0x00, 0xE0, 0x00, 0x60, 0x00, 0x7C, 0x00, 0x7E, 0x00, 0x67, 0x00, 0x63, 0x00, 0x63, 0x00, 0x63, 0x00, 0x67, 0x00, 0x7E, 0x00, 0x7C, 0x00,     //  ъ     //  138</v>
      </c>
      <c r="AF29" t="s">
        <v>3</v>
      </c>
      <c r="BC29" s="2" t="str">
        <f>$BD$25</f>
        <v xml:space="preserve"> 0x08, 0x00, 0x00, 0x00, 0x00, 0x00, 0x00, 0x00, 0x00, 0xC1, 0x80, 0xC1, 0x80, 0xC1, 0x80, 0xF1, 0x80, 0xF9, 0x80, 0xDD, 0x80, 0xCD, 0x80, 0xCD, 0x80, 0xCD, 0x80, 0xDD, 0x80, 0xF9, 0x80, 0xF1, 0x80,     //  ы     //  139</v>
      </c>
      <c r="BG29" t="s">
        <v>3</v>
      </c>
    </row>
  </sheetData>
  <conditionalFormatting sqref="E5:T20">
    <cfRule type="colorScale" priority="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6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4:CB29"/>
  <sheetViews>
    <sheetView workbookViewId="0">
      <selection activeCell="BB34" sqref="BB34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140</v>
      </c>
      <c r="Z4" t="s">
        <v>5</v>
      </c>
      <c r="AB4" s="3">
        <v>141</v>
      </c>
      <c r="BA4" t="s">
        <v>5</v>
      </c>
      <c r="BC4" s="3">
        <v>142</v>
      </c>
      <c r="CB4" t="s">
        <v>5</v>
      </c>
    </row>
    <row r="5" spans="1:80">
      <c r="A5" s="3" t="s">
        <v>18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0x7C,</v>
      </c>
      <c r="AD10" t="str">
        <f t="shared" si="7"/>
        <v>124,</v>
      </c>
      <c r="AE10" t="str">
        <f t="shared" si="8"/>
        <v>01111100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0xCF,</v>
      </c>
      <c r="BE10" t="str">
        <f t="shared" si="13"/>
        <v>207,</v>
      </c>
      <c r="BF10" t="str">
        <f t="shared" si="14"/>
        <v>11001111</v>
      </c>
      <c r="BG10">
        <v>1</v>
      </c>
      <c r="BH10">
        <v>1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0xCE,</v>
      </c>
      <c r="AD11" t="str">
        <f t="shared" si="7"/>
        <v>206,</v>
      </c>
      <c r="AE11" t="str">
        <f t="shared" si="8"/>
        <v>11001110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0xD9,</v>
      </c>
      <c r="BE11" t="str">
        <f t="shared" si="13"/>
        <v>217,</v>
      </c>
      <c r="BF11" t="str">
        <f t="shared" si="14"/>
        <v>11011001</v>
      </c>
      <c r="BG11">
        <v>1</v>
      </c>
      <c r="BH11">
        <v>1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0xD9,</v>
      </c>
      <c r="BE12" t="str">
        <f t="shared" si="13"/>
        <v>217,</v>
      </c>
      <c r="BF12" t="str">
        <f t="shared" si="14"/>
        <v>11011001</v>
      </c>
      <c r="BG12">
        <v>1</v>
      </c>
      <c r="BH12">
        <v>1</v>
      </c>
      <c r="BI12">
        <v>0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0xF8,</v>
      </c>
      <c r="C13" t="str">
        <f t="shared" si="1"/>
        <v>248,</v>
      </c>
      <c r="D13" t="str">
        <f t="shared" si="2"/>
        <v>11111000</v>
      </c>
      <c r="E13">
        <v>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0x06,</v>
      </c>
      <c r="AD13" t="str">
        <f t="shared" si="7"/>
        <v>6,</v>
      </c>
      <c r="AE13" t="str">
        <f t="shared" si="8"/>
        <v>00000110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0xD9,</v>
      </c>
      <c r="BE13" t="str">
        <f t="shared" si="13"/>
        <v>217,</v>
      </c>
      <c r="BF13" t="str">
        <f t="shared" si="14"/>
        <v>11011001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0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0xDC,</v>
      </c>
      <c r="C14" t="str">
        <f t="shared" si="1"/>
        <v>220,</v>
      </c>
      <c r="D14" t="str">
        <f t="shared" si="2"/>
        <v>11011100</v>
      </c>
      <c r="E14">
        <v>1</v>
      </c>
      <c r="F14">
        <v>1</v>
      </c>
      <c r="G14">
        <v>0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0x1E,</v>
      </c>
      <c r="AD14" t="str">
        <f t="shared" si="7"/>
        <v>30,</v>
      </c>
      <c r="AE14" t="str">
        <f t="shared" si="8"/>
        <v>00011110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0xF9,</v>
      </c>
      <c r="BE14" t="str">
        <f t="shared" si="13"/>
        <v>249,</v>
      </c>
      <c r="BF14" t="str">
        <f t="shared" si="14"/>
        <v>11111001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0xCC,</v>
      </c>
      <c r="C15" t="str">
        <f t="shared" si="1"/>
        <v>204,</v>
      </c>
      <c r="D15" t="str">
        <f t="shared" si="2"/>
        <v>11001100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0x1E,</v>
      </c>
      <c r="AD15" t="str">
        <f t="shared" si="7"/>
        <v>30,</v>
      </c>
      <c r="AE15" t="str">
        <f t="shared" si="8"/>
        <v>00011110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0xF9,</v>
      </c>
      <c r="BE15" t="str">
        <f t="shared" si="13"/>
        <v>249,</v>
      </c>
      <c r="BF15" t="str">
        <f t="shared" si="14"/>
        <v>11111001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0</v>
      </c>
      <c r="BM15">
        <v>0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0xCC,</v>
      </c>
      <c r="C16" t="str">
        <f t="shared" si="1"/>
        <v>204,</v>
      </c>
      <c r="D16" t="str">
        <f t="shared" si="2"/>
        <v>11001100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0x06,</v>
      </c>
      <c r="AD16" t="str">
        <f t="shared" si="7"/>
        <v>6,</v>
      </c>
      <c r="AE16" t="str">
        <f t="shared" si="8"/>
        <v>00000110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0xD9,</v>
      </c>
      <c r="BE16" t="str">
        <f t="shared" si="13"/>
        <v>217,</v>
      </c>
      <c r="BF16" t="str">
        <f t="shared" si="14"/>
        <v>11011001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0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0xCC,</v>
      </c>
      <c r="C17" t="str">
        <f t="shared" si="1"/>
        <v>204,</v>
      </c>
      <c r="D17" t="str">
        <f t="shared" si="2"/>
        <v>11001100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0xD9,</v>
      </c>
      <c r="BE17" t="str">
        <f t="shared" si="13"/>
        <v>217,</v>
      </c>
      <c r="BF17" t="str">
        <f t="shared" si="14"/>
        <v>11011001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0xDC,</v>
      </c>
      <c r="C18" t="str">
        <f t="shared" si="1"/>
        <v>220,</v>
      </c>
      <c r="D18" t="str">
        <f t="shared" si="2"/>
        <v>11011100</v>
      </c>
      <c r="E18">
        <v>1</v>
      </c>
      <c r="F18">
        <v>1</v>
      </c>
      <c r="G18">
        <v>0</v>
      </c>
      <c r="H18">
        <v>1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0xD9,</v>
      </c>
      <c r="BE18" t="str">
        <f t="shared" si="13"/>
        <v>217,</v>
      </c>
      <c r="BF18" t="str">
        <f t="shared" si="14"/>
        <v>11011001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0</v>
      </c>
      <c r="BM18">
        <v>0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0xF8,</v>
      </c>
      <c r="C19" t="str">
        <f t="shared" si="1"/>
        <v>248,</v>
      </c>
      <c r="D19" t="str">
        <f t="shared" si="2"/>
        <v>11111000</v>
      </c>
      <c r="E19">
        <v>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0x7C,</v>
      </c>
      <c r="AD19" t="str">
        <f t="shared" si="7"/>
        <v>124,</v>
      </c>
      <c r="AE19" t="str">
        <f t="shared" si="8"/>
        <v>01111100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0xCF,</v>
      </c>
      <c r="BE19" t="str">
        <f t="shared" si="13"/>
        <v>207,</v>
      </c>
      <c r="BF19" t="str">
        <f t="shared" si="14"/>
        <v>11001111</v>
      </c>
      <c r="BG19">
        <v>1</v>
      </c>
      <c r="BH19">
        <v>1</v>
      </c>
      <c r="BI19">
        <v>0</v>
      </c>
      <c r="BJ19">
        <v>0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0xF0,</v>
      </c>
      <c r="C20" t="str">
        <f t="shared" si="1"/>
        <v>240,</v>
      </c>
      <c r="D20" t="str">
        <f t="shared" si="2"/>
        <v>11110000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6,</v>
      </c>
      <c r="V22" t="str">
        <f>Y20&amp;DEC2HEX(U22,2)&amp;X20</f>
        <v xml:space="preserve"> 0x06,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 hidden="1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6,0,0,0,0,0,0,0,0,192,0,192,0,192,0,240,0,248,0,220,0,204,0,204,0,204,0,220,0,248,0,240,0,     //  ь     //  140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7,0,0,0,0,0,0,0,0,56,0,124,0,206,0,198,0,6,0,30,0,30,0,6,0,198,0,206,0,124,0,56,0,     //  э     //  141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9,0,0,0,0,0,0,0,0,198,0,207,0,217,128,217,128,217,128,249,128,249,128,217,128,217,128,217,128,207,0,198,0,     //  ю     //  142</v>
      </c>
    </row>
    <row r="25" spans="1:79" hidden="1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0x06, 0x00, 0x00, 0x00, 0x00, 0x00, 0x00, 0x00, 0x00, 0xC0, 0x00, 0xC0, 0x00, 0xC0, 0x00, 0xF0, 0x00, 0xF8, 0x00, 0xDC, 0x00, 0xCC, 0x00, 0xCC, 0x00, 0xCC, 0x00, 0xDC, 0x00, 0xF8, 0x00, 0xF0, 0x00,     //  ь     //  140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0x38, 0x00, 0x7C, 0x00, 0xCE, 0x00, 0xC6, 0x00, 0x06, 0x00, 0x1E, 0x00, 0x1E, 0x00, 0x06, 0x00, 0xC6, 0x00, 0xCE, 0x00, 0x7C, 0x00, 0x38, 0x00,     //  э     //  141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0x00, 0x00, 0x00, 0x00, 0x00, 0x00, 0x00, 0x00, 0xC6, 0x00, 0xCF, 0x00, 0xD9, 0x80, 0xD9, 0x80, 0xD9, 0x80, 0xF9, 0x80, 0xF9, 0x80, 0xD9, 0x80, 0xD9, 0x80, 0xD9, 0x80, 0xCF, 0x00, 0xC6, 0x00,     //  ю     //  142</v>
      </c>
    </row>
    <row r="28" spans="1:79">
      <c r="A28" s="1" t="str">
        <f>$B$24</f>
        <v>6,0,0,0,0,0,0,0,0,192,0,192,0,192,0,240,0,248,0,220,0,204,0,204,0,204,0,220,0,248,0,240,0,     //  ь     //  140</v>
      </c>
      <c r="E28" t="s">
        <v>4</v>
      </c>
      <c r="AB28" s="1" t="str">
        <f>$AC$24</f>
        <v>7,0,0,0,0,0,0,0,0,56,0,124,0,206,0,198,0,6,0,30,0,30,0,6,0,198,0,206,0,124,0,56,0,     //  э     //  141</v>
      </c>
      <c r="AF28" t="s">
        <v>4</v>
      </c>
      <c r="BC28" s="1" t="str">
        <f>$BD$24</f>
        <v>9,0,0,0,0,0,0,0,0,198,0,207,0,217,128,217,128,217,128,249,128,249,128,217,128,217,128,217,128,207,0,198,0,     //  ю     //  142</v>
      </c>
      <c r="BG28" t="s">
        <v>4</v>
      </c>
    </row>
    <row r="29" spans="1:79">
      <c r="A29" s="2" t="str">
        <f>$B$25</f>
        <v xml:space="preserve"> 0x06, 0x00, 0x00, 0x00, 0x00, 0x00, 0x00, 0x00, 0x00, 0xC0, 0x00, 0xC0, 0x00, 0xC0, 0x00, 0xF0, 0x00, 0xF8, 0x00, 0xDC, 0x00, 0xCC, 0x00, 0xCC, 0x00, 0xCC, 0x00, 0xDC, 0x00, 0xF8, 0x00, 0xF0, 0x00,     //  ь     //  140</v>
      </c>
      <c r="E29" t="s">
        <v>3</v>
      </c>
      <c r="AB29" s="2" t="str">
        <f>$AC$25</f>
        <v xml:space="preserve"> 0x07, 0x00, 0x00, 0x00, 0x00, 0x00, 0x00, 0x00, 0x00, 0x38, 0x00, 0x7C, 0x00, 0xCE, 0x00, 0xC6, 0x00, 0x06, 0x00, 0x1E, 0x00, 0x1E, 0x00, 0x06, 0x00, 0xC6, 0x00, 0xCE, 0x00, 0x7C, 0x00, 0x38, 0x00,     //  э     //  141</v>
      </c>
      <c r="AF29" t="s">
        <v>3</v>
      </c>
      <c r="BC29" s="2" t="str">
        <f>$BD$25</f>
        <v xml:space="preserve"> 0x09, 0x00, 0x00, 0x00, 0x00, 0x00, 0x00, 0x00, 0x00, 0xC6, 0x00, 0xCF, 0x00, 0xD9, 0x80, 0xD9, 0x80, 0xD9, 0x80, 0xF9, 0x80, 0xF9, 0x80, 0xD9, 0x80, 0xD9, 0x80, 0xD9, 0x80, 0xCF, 0x00, 0xC6, 0x00,     //  ю     //  142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4:CB29"/>
  <sheetViews>
    <sheetView topLeftCell="F1" workbookViewId="0">
      <selection activeCell="BR30" sqref="BR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143</v>
      </c>
      <c r="Z4" t="s">
        <v>5</v>
      </c>
      <c r="AB4" s="3">
        <v>144</v>
      </c>
      <c r="BA4" t="s">
        <v>5</v>
      </c>
      <c r="BC4" s="3">
        <v>145</v>
      </c>
      <c r="CB4" t="s">
        <v>5</v>
      </c>
    </row>
    <row r="5" spans="1:80">
      <c r="A5" s="3" t="s">
        <v>21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22</v>
      </c>
      <c r="AC5" t="str">
        <f>BA5&amp;AZ5&amp;BIN2HEX(AE5,2)&amp;AY5</f>
        <v xml:space="preserve"> 0x10,</v>
      </c>
      <c r="AD5" t="str">
        <f>BA5&amp;BIN2DEC(AE5)&amp;AY5</f>
        <v>16,</v>
      </c>
      <c r="AE5" t="str">
        <f>AF5&amp;AG5&amp;AH5&amp;AI5&amp;AJ5&amp;AK5&amp;AL5&amp;AM5</f>
        <v>00010000</v>
      </c>
      <c r="AF5">
        <v>0</v>
      </c>
      <c r="AG5">
        <v>0</v>
      </c>
      <c r="AH5">
        <v>0</v>
      </c>
      <c r="AI5">
        <v>1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23</v>
      </c>
      <c r="BD5" t="str">
        <f>CB5&amp;CA5&amp;BIN2HEX(BF5,2)&amp;BZ5</f>
        <v xml:space="preserve"> 0xFC,</v>
      </c>
      <c r="BE5" t="str">
        <f>CB5&amp;BIN2DEC(BF5)&amp;BZ5</f>
        <v>252,</v>
      </c>
      <c r="BF5" t="str">
        <f>BG5&amp;BH5&amp;BI5&amp;BJ5&amp;BK5&amp;BL5&amp;BM5&amp;BN5</f>
        <v>11111100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0x38,</v>
      </c>
      <c r="AD6" t="str">
        <f t="shared" ref="AD6:AD20" si="7">BA6&amp;BIN2DEC(AE6)&amp;AY6</f>
        <v>56,</v>
      </c>
      <c r="AE6" t="str">
        <f t="shared" ref="AE6:AE20" si="8">AF6&amp;AG6&amp;AH6&amp;AI6&amp;AJ6&amp;AK6&amp;AL6&amp;AM6</f>
        <v>00111000</v>
      </c>
      <c r="AF6">
        <v>0</v>
      </c>
      <c r="AG6">
        <v>0</v>
      </c>
      <c r="AH6">
        <v>1</v>
      </c>
      <c r="AI6">
        <v>1</v>
      </c>
      <c r="AJ6">
        <v>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0xFC,</v>
      </c>
      <c r="BE6" t="str">
        <f t="shared" ref="BE6:BE20" si="13">CB6&amp;BIN2DEC(BF6)&amp;BZ6</f>
        <v>252,</v>
      </c>
      <c r="BF6" t="str">
        <f t="shared" ref="BF6:BF20" si="14">BG6&amp;BH6&amp;BI6&amp;BJ6&amp;BK6&amp;BL6&amp;BM6&amp;BN6</f>
        <v>11111100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0x38,</v>
      </c>
      <c r="AD7" t="str">
        <f t="shared" si="7"/>
        <v>56,</v>
      </c>
      <c r="AE7" t="str">
        <f t="shared" si="8"/>
        <v>00111000</v>
      </c>
      <c r="AF7">
        <v>0</v>
      </c>
      <c r="AG7">
        <v>0</v>
      </c>
      <c r="AH7">
        <v>1</v>
      </c>
      <c r="AI7">
        <v>1</v>
      </c>
      <c r="AJ7">
        <v>1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0xC0,</v>
      </c>
      <c r="BE7" t="str">
        <f t="shared" si="13"/>
        <v>192,</v>
      </c>
      <c r="BF7" t="str">
        <f t="shared" si="14"/>
        <v>11000000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0x6C,</v>
      </c>
      <c r="AD8" t="str">
        <f t="shared" si="7"/>
        <v>108,</v>
      </c>
      <c r="AE8" t="str">
        <f t="shared" si="8"/>
        <v>01101100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0xC0,</v>
      </c>
      <c r="BE8" t="str">
        <f t="shared" si="13"/>
        <v>192,</v>
      </c>
      <c r="BF8" t="str">
        <f t="shared" si="14"/>
        <v>11000000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0x1E,</v>
      </c>
      <c r="C9" t="str">
        <f t="shared" si="1"/>
        <v>30,</v>
      </c>
      <c r="D9" t="str">
        <f t="shared" si="2"/>
        <v>00011110</v>
      </c>
      <c r="E9">
        <v>0</v>
      </c>
      <c r="F9">
        <v>0</v>
      </c>
      <c r="G9">
        <v>0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0x6C,</v>
      </c>
      <c r="AD9" t="str">
        <f t="shared" si="7"/>
        <v>108,</v>
      </c>
      <c r="AE9" t="str">
        <f t="shared" si="8"/>
        <v>01101100</v>
      </c>
      <c r="AF9">
        <v>0</v>
      </c>
      <c r="AG9">
        <v>1</v>
      </c>
      <c r="AH9">
        <v>1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0xC0,</v>
      </c>
      <c r="BE9" t="str">
        <f t="shared" si="13"/>
        <v>192,</v>
      </c>
      <c r="BF9" t="str">
        <f t="shared" si="14"/>
        <v>11000000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0x3E,</v>
      </c>
      <c r="C10" t="str">
        <f t="shared" si="1"/>
        <v>62,</v>
      </c>
      <c r="D10" t="str">
        <f t="shared" si="2"/>
        <v>00111110</v>
      </c>
      <c r="E10">
        <v>0</v>
      </c>
      <c r="F10">
        <v>0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0xF8,</v>
      </c>
      <c r="BE10" t="str">
        <f t="shared" si="13"/>
        <v>248,</v>
      </c>
      <c r="BF10" t="str">
        <f t="shared" si="14"/>
        <v>11111000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0x66,</v>
      </c>
      <c r="C11" t="str">
        <f t="shared" si="1"/>
        <v>102,</v>
      </c>
      <c r="D11" t="str">
        <f t="shared" si="2"/>
        <v>01100110</v>
      </c>
      <c r="E11">
        <v>0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0xFC,</v>
      </c>
      <c r="BE11" t="str">
        <f t="shared" si="13"/>
        <v>252,</v>
      </c>
      <c r="BF11" t="str">
        <f t="shared" si="14"/>
        <v>11111100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0x66,</v>
      </c>
      <c r="C12" t="str">
        <f t="shared" si="1"/>
        <v>102,</v>
      </c>
      <c r="D12" t="str">
        <f t="shared" si="2"/>
        <v>01100110</v>
      </c>
      <c r="E12">
        <v>0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0xCE,</v>
      </c>
      <c r="BE12" t="str">
        <f t="shared" si="13"/>
        <v>206,</v>
      </c>
      <c r="BF12" t="str">
        <f t="shared" si="14"/>
        <v>11001110</v>
      </c>
      <c r="BG12">
        <v>1</v>
      </c>
      <c r="BH12">
        <v>1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0x66,</v>
      </c>
      <c r="C13" t="str">
        <f t="shared" si="1"/>
        <v>102,</v>
      </c>
      <c r="D13" t="str">
        <f t="shared" si="2"/>
        <v>01100110</v>
      </c>
      <c r="E13">
        <v>0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0x66,</v>
      </c>
      <c r="C15" t="str">
        <f t="shared" si="1"/>
        <v>102,</v>
      </c>
      <c r="D15" t="str">
        <f t="shared" si="2"/>
        <v>01100110</v>
      </c>
      <c r="E15">
        <v>0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0xFE,</v>
      </c>
      <c r="AD15" t="str">
        <f t="shared" si="7"/>
        <v>254,</v>
      </c>
      <c r="AE15" t="str">
        <f t="shared" si="8"/>
        <v>11111110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0x3E,</v>
      </c>
      <c r="C16" t="str">
        <f t="shared" si="1"/>
        <v>62,</v>
      </c>
      <c r="D16" t="str">
        <f t="shared" si="2"/>
        <v>00111110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0xFE,</v>
      </c>
      <c r="AD16" t="str">
        <f t="shared" si="7"/>
        <v>254,</v>
      </c>
      <c r="AE16" t="str">
        <f t="shared" si="8"/>
        <v>11111110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0x1E,</v>
      </c>
      <c r="C17" t="str">
        <f t="shared" si="1"/>
        <v>30,</v>
      </c>
      <c r="D17" t="str">
        <f t="shared" si="2"/>
        <v>00011110</v>
      </c>
      <c r="E17">
        <v>0</v>
      </c>
      <c r="F17">
        <v>0</v>
      </c>
      <c r="G17">
        <v>0</v>
      </c>
      <c r="H17">
        <v>1</v>
      </c>
      <c r="I17">
        <v>1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0x36,</v>
      </c>
      <c r="C18" t="str">
        <f t="shared" si="1"/>
        <v>54,</v>
      </c>
      <c r="D18" t="str">
        <f t="shared" si="2"/>
        <v>00110110</v>
      </c>
      <c r="E18">
        <v>0</v>
      </c>
      <c r="F18">
        <v>0</v>
      </c>
      <c r="G18">
        <v>1</v>
      </c>
      <c r="H18">
        <v>1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0x66,</v>
      </c>
      <c r="C19" t="str">
        <f t="shared" si="1"/>
        <v>102,</v>
      </c>
      <c r="D19" t="str">
        <f t="shared" si="2"/>
        <v>01100110</v>
      </c>
      <c r="E19">
        <v>0</v>
      </c>
      <c r="F19">
        <v>1</v>
      </c>
      <c r="G19">
        <v>1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0xFC,</v>
      </c>
      <c r="BE19" t="str">
        <f t="shared" si="13"/>
        <v>252,</v>
      </c>
      <c r="BF19" t="str">
        <f t="shared" si="14"/>
        <v>11111100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0xF8,</v>
      </c>
      <c r="BE20" t="str">
        <f t="shared" si="13"/>
        <v>248,</v>
      </c>
      <c r="BF20" t="str">
        <f t="shared" si="14"/>
        <v>11111000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7,0,0,0,0,0,0,0,0,30,0,62,0,102,0,102,0,102,0,102,0,102,0,62,0,30,0,54,0,102,0,198,0,     //  я     //  143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7,16,0,56,0,56,0,108,0,108,0,198,0,198,0,198,0,198,0,198,0,254,0,254,0,198,0,198,0,198,0,198,0,     //  А     //  144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7,252,0,252,0,192,0,192,0,192,0,248,0,252,0,206,0,198,0,198,0,198,0,198,0,198,0,206,0,252,0,248,0,     //  Б     //  145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0x1E, 0x00, 0x3E, 0x00, 0x66, 0x00, 0x66, 0x00, 0x66, 0x00, 0x66, 0x00, 0x66, 0x00, 0x3E, 0x00, 0x1E, 0x00, 0x36, 0x00, 0x66, 0x00, 0xC6, 0x00,     //  я     //  143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0x10, 0x00, 0x38, 0x00, 0x38, 0x00, 0x6C, 0x00, 0x6C, 0x00, 0xC6, 0x00, 0xC6, 0x00, 0xC6, 0x00, 0xC6, 0x00, 0xC6, 0x00, 0xFE, 0x00, 0xFE, 0x00, 0xC6, 0x00, 0xC6, 0x00, 0xC6, 0x00, 0xC6, 0x00,     //  А     //  144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0xFC, 0x00, 0xFC, 0x00, 0xC0, 0x00, 0xC0, 0x00, 0xC0, 0x00, 0xF8, 0x00, 0xFC, 0x00, 0xCE, 0x00, 0xC6, 0x00, 0xC6, 0x00, 0xC6, 0x00, 0xC6, 0x00, 0xC6, 0x00, 0xCE, 0x00, 0xFC, 0x00, 0xF8, 0x00,     //  Б     //  145</v>
      </c>
    </row>
    <row r="28" spans="1:79">
      <c r="A28" s="1" t="str">
        <f>$B$24</f>
        <v>7,0,0,0,0,0,0,0,0,30,0,62,0,102,0,102,0,102,0,102,0,102,0,62,0,30,0,54,0,102,0,198,0,     //  я     //  143</v>
      </c>
      <c r="E28" t="s">
        <v>4</v>
      </c>
      <c r="AB28" s="1" t="str">
        <f>$AC$24</f>
        <v>7,16,0,56,0,56,0,108,0,108,0,198,0,198,0,198,0,198,0,198,0,254,0,254,0,198,0,198,0,198,0,198,0,     //  А     //  144</v>
      </c>
      <c r="AF28" t="s">
        <v>4</v>
      </c>
      <c r="BC28" s="1" t="str">
        <f>$BD$24</f>
        <v>7,252,0,252,0,192,0,192,0,192,0,248,0,252,0,206,0,198,0,198,0,198,0,198,0,198,0,206,0,252,0,248,0,     //  Б     //  145</v>
      </c>
      <c r="BG28" t="s">
        <v>4</v>
      </c>
    </row>
    <row r="29" spans="1:79">
      <c r="A29" s="2" t="str">
        <f>$B$25</f>
        <v xml:space="preserve"> 0x07, 0x00, 0x00, 0x00, 0x00, 0x00, 0x00, 0x00, 0x00, 0x1E, 0x00, 0x3E, 0x00, 0x66, 0x00, 0x66, 0x00, 0x66, 0x00, 0x66, 0x00, 0x66, 0x00, 0x3E, 0x00, 0x1E, 0x00, 0x36, 0x00, 0x66, 0x00, 0xC6, 0x00,     //  я     //  143</v>
      </c>
      <c r="E29" t="s">
        <v>3</v>
      </c>
      <c r="AB29" s="2" t="str">
        <f>$AC$25</f>
        <v xml:space="preserve"> 0x07, 0x10, 0x00, 0x38, 0x00, 0x38, 0x00, 0x6C, 0x00, 0x6C, 0x00, 0xC6, 0x00, 0xC6, 0x00, 0xC6, 0x00, 0xC6, 0x00, 0xC6, 0x00, 0xFE, 0x00, 0xFE, 0x00, 0xC6, 0x00, 0xC6, 0x00, 0xC6, 0x00, 0xC6, 0x00,     //  А     //  144</v>
      </c>
      <c r="AF29" t="s">
        <v>3</v>
      </c>
      <c r="BC29" s="2" t="str">
        <f>$BD$25</f>
        <v xml:space="preserve"> 0x07, 0xFC, 0x00, 0xFC, 0x00, 0xC0, 0x00, 0xC0, 0x00, 0xC0, 0x00, 0xF8, 0x00, 0xFC, 0x00, 0xCE, 0x00, 0xC6, 0x00, 0xC6, 0x00, 0xC6, 0x00, 0xC6, 0x00, 0xC6, 0x00, 0xCE, 0x00, 0xFC, 0x00, 0xF8, 0x00,     //  Б     //  145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M8:AO17 AH8:AH17 AH20 AM20:AO20 AK16:AK17 AK20 AF6:AG20 AI8:AL15 AF5:AO5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2" priority="6" operator="greaterThan">
      <formula>1</formula>
    </cfRule>
  </conditionalFormatting>
  <conditionalFormatting sqref="BG6:BH20 BI6:BP7 BI18:BP19 BI8:BI17 BJ13:BM13 BJ8:BN12 BG5:BP5 BO8:BO17 BN13:BN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9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1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146</v>
      </c>
      <c r="Z4" t="s">
        <v>5</v>
      </c>
      <c r="AB4" s="3">
        <v>147</v>
      </c>
      <c r="BA4" t="s">
        <v>5</v>
      </c>
      <c r="BC4" s="3">
        <v>148</v>
      </c>
      <c r="CB4" t="s">
        <v>5</v>
      </c>
    </row>
    <row r="5" spans="1:80">
      <c r="A5" s="3" t="s">
        <v>24</v>
      </c>
      <c r="B5" t="str">
        <f>Z5&amp;Y5&amp;BIN2HEX(D5,2)&amp;X5</f>
        <v xml:space="preserve"> 0xF8,</v>
      </c>
      <c r="C5" t="str">
        <f>Z5&amp;BIN2DEC(D5)&amp;X5</f>
        <v>248,</v>
      </c>
      <c r="D5" t="str">
        <f>E5&amp;F5&amp;G5&amp;H5&amp;I5&amp;J5&amp;K5&amp;L5</f>
        <v>11111000</v>
      </c>
      <c r="E5">
        <v>1</v>
      </c>
      <c r="F5">
        <v>1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25</v>
      </c>
      <c r="AC5" t="str">
        <f>BA5&amp;AZ5&amp;BIN2HEX(AE5,2)&amp;AY5</f>
        <v xml:space="preserve"> 0xFC,</v>
      </c>
      <c r="AD5" t="str">
        <f>BA5&amp;BIN2DEC(AE5)&amp;AY5</f>
        <v>252,</v>
      </c>
      <c r="AE5" t="str">
        <f>AF5&amp;AG5&amp;AH5&amp;AI5&amp;AJ5&amp;AK5&amp;AL5&amp;AM5</f>
        <v>11111100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26</v>
      </c>
      <c r="BD5" t="str">
        <f>CB5&amp;CA5&amp;BIN2HEX(BF5,2)&amp;BZ5</f>
        <v xml:space="preserve"> 0x0F,</v>
      </c>
      <c r="BE5" t="str">
        <f>CB5&amp;BIN2DEC(BF5)&amp;BZ5</f>
        <v>15,</v>
      </c>
      <c r="BF5" t="str">
        <f>BG5&amp;BH5&amp;BI5&amp;BJ5&amp;BK5&amp;BL5&amp;BM5&amp;BN5</f>
        <v>00001111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0</v>
      </c>
      <c r="BP5">
        <f>BT100</f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0xFC,</v>
      </c>
      <c r="C6" t="str">
        <f t="shared" ref="C6:C20" si="1">Z6&amp;BIN2DEC(D6)&amp;X6</f>
        <v>252,</v>
      </c>
      <c r="D6" t="str">
        <f t="shared" ref="D6:D20" si="2">E6&amp;F6&amp;G6&amp;H6&amp;I6&amp;J6&amp;K6&amp;L6</f>
        <v>11111100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0xFC,</v>
      </c>
      <c r="AD6" t="str">
        <f t="shared" ref="AD6:AD20" si="7">BA6&amp;BIN2DEC(AE6)&amp;AY6</f>
        <v>252,</v>
      </c>
      <c r="AE6" t="str">
        <f t="shared" ref="AE6:AE20" si="8">AF6&amp;AG6&amp;AH6&amp;AI6&amp;AJ6&amp;AK6&amp;AL6&amp;AM6</f>
        <v>11111100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0x0F,</v>
      </c>
      <c r="BE6" t="str">
        <f t="shared" ref="BE6:BE20" si="13">CB6&amp;BIN2DEC(BF6)&amp;BZ6</f>
        <v>15,</v>
      </c>
      <c r="BF6" t="str">
        <f t="shared" ref="BF6:BF20" si="14">BG6&amp;BH6&amp;BI6&amp;BJ6&amp;BK6&amp;BL6&amp;BM6&amp;BN6</f>
        <v>00001111</v>
      </c>
      <c r="BG6">
        <v>0</v>
      </c>
      <c r="BH6">
        <v>0</v>
      </c>
      <c r="BI6">
        <v>0</v>
      </c>
      <c r="BJ6">
        <v>0</v>
      </c>
      <c r="BK6">
        <v>1</v>
      </c>
      <c r="BL6">
        <v>1</v>
      </c>
      <c r="BM6">
        <v>1</v>
      </c>
      <c r="BN6">
        <v>1</v>
      </c>
      <c r="BO6">
        <v>0</v>
      </c>
      <c r="BP6">
        <f t="shared" ref="BP6:BP17" si="15">BT101</f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6">BO6&amp;BP6&amp;BQ6&amp;BR6&amp;BS6&amp;BT6&amp;BU6&amp;BV6</f>
        <v>00000000</v>
      </c>
      <c r="BX6" t="str">
        <f t="shared" ref="BX6:BX20" si="17">CB6&amp;BIN2DEC(BW6)&amp;BZ6</f>
        <v>0,</v>
      </c>
      <c r="BY6" t="str">
        <f t="shared" ref="BY6:BY20" si="18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0xCE,</v>
      </c>
      <c r="C7" t="str">
        <f t="shared" si="1"/>
        <v>206,</v>
      </c>
      <c r="D7" t="str">
        <f t="shared" si="2"/>
        <v>11001110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0xFC,</v>
      </c>
      <c r="AD7" t="str">
        <f t="shared" si="7"/>
        <v>252,</v>
      </c>
      <c r="AE7" t="str">
        <f t="shared" si="8"/>
        <v>11111100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0x1F,</v>
      </c>
      <c r="BE7" t="str">
        <f t="shared" si="13"/>
        <v>31,</v>
      </c>
      <c r="BF7" t="str">
        <f t="shared" si="14"/>
        <v>00011111</v>
      </c>
      <c r="BG7">
        <v>0</v>
      </c>
      <c r="BH7">
        <v>0</v>
      </c>
      <c r="BI7">
        <v>0</v>
      </c>
      <c r="BJ7">
        <v>1</v>
      </c>
      <c r="BK7">
        <v>1</v>
      </c>
      <c r="BL7">
        <v>1</v>
      </c>
      <c r="BM7">
        <v>1</v>
      </c>
      <c r="BN7">
        <v>1</v>
      </c>
      <c r="BO7">
        <v>0</v>
      </c>
      <c r="BP7">
        <f t="shared" si="15"/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6"/>
        <v>00000000</v>
      </c>
      <c r="BX7" t="str">
        <f t="shared" si="17"/>
        <v>0,</v>
      </c>
      <c r="BY7" t="str">
        <f t="shared" si="18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0xC4,</v>
      </c>
      <c r="AD8" t="str">
        <f t="shared" si="7"/>
        <v>196,</v>
      </c>
      <c r="AE8" t="str">
        <f t="shared" si="8"/>
        <v>11000100</v>
      </c>
      <c r="AF8">
        <v>1</v>
      </c>
      <c r="AG8">
        <v>1</v>
      </c>
      <c r="AH8">
        <v>0</v>
      </c>
      <c r="AI8">
        <v>0</v>
      </c>
      <c r="AJ8">
        <v>0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0x1B,</v>
      </c>
      <c r="BE8" t="str">
        <f t="shared" si="13"/>
        <v>27,</v>
      </c>
      <c r="BF8" t="str">
        <f t="shared" si="14"/>
        <v>00011011</v>
      </c>
      <c r="BG8">
        <v>0</v>
      </c>
      <c r="BH8">
        <v>0</v>
      </c>
      <c r="BI8">
        <v>0</v>
      </c>
      <c r="BJ8">
        <v>1</v>
      </c>
      <c r="BK8">
        <v>1</v>
      </c>
      <c r="BL8">
        <v>0</v>
      </c>
      <c r="BM8">
        <v>1</v>
      </c>
      <c r="BN8">
        <v>1</v>
      </c>
      <c r="BO8">
        <v>0</v>
      </c>
      <c r="BP8">
        <f t="shared" si="15"/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6"/>
        <v>00000000</v>
      </c>
      <c r="BX8" t="str">
        <f t="shared" si="17"/>
        <v>0,</v>
      </c>
      <c r="BY8" t="str">
        <f t="shared" si="18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0xC0,</v>
      </c>
      <c r="AD9" t="str">
        <f t="shared" si="7"/>
        <v>192,</v>
      </c>
      <c r="AE9" t="str">
        <f t="shared" si="8"/>
        <v>11000000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0x3B,</v>
      </c>
      <c r="BE9" t="str">
        <f t="shared" si="13"/>
        <v>59,</v>
      </c>
      <c r="BF9" t="str">
        <f t="shared" si="14"/>
        <v>00111011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1</v>
      </c>
      <c r="BN9">
        <v>1</v>
      </c>
      <c r="BO9">
        <v>0</v>
      </c>
      <c r="BP9">
        <f t="shared" si="15"/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6"/>
        <v>00000000</v>
      </c>
      <c r="BX9" t="str">
        <f t="shared" si="17"/>
        <v>0,</v>
      </c>
      <c r="BY9" t="str">
        <f t="shared" si="18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0xC0,</v>
      </c>
      <c r="AD10" t="str">
        <f t="shared" si="7"/>
        <v>192,</v>
      </c>
      <c r="AE10" t="str">
        <f t="shared" si="8"/>
        <v>11000000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0x33,</v>
      </c>
      <c r="BE10" t="str">
        <f t="shared" si="13"/>
        <v>51,</v>
      </c>
      <c r="BF10" t="str">
        <f t="shared" si="14"/>
        <v>00110011</v>
      </c>
      <c r="BG10">
        <v>0</v>
      </c>
      <c r="BH10">
        <v>0</v>
      </c>
      <c r="BI10">
        <v>1</v>
      </c>
      <c r="BJ10">
        <v>1</v>
      </c>
      <c r="BK10">
        <v>0</v>
      </c>
      <c r="BL10">
        <v>0</v>
      </c>
      <c r="BM10">
        <v>1</v>
      </c>
      <c r="BN10">
        <v>1</v>
      </c>
      <c r="BO10">
        <v>0</v>
      </c>
      <c r="BP10">
        <f t="shared" si="15"/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6"/>
        <v>00000000</v>
      </c>
      <c r="BX10" t="str">
        <f t="shared" si="17"/>
        <v>0,</v>
      </c>
      <c r="BY10" t="str">
        <f t="shared" si="18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0xCE,</v>
      </c>
      <c r="C11" t="str">
        <f t="shared" si="1"/>
        <v>206,</v>
      </c>
      <c r="D11" t="str">
        <f t="shared" si="2"/>
        <v>11001110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0xC0,</v>
      </c>
      <c r="AD11" t="str">
        <f t="shared" si="7"/>
        <v>192,</v>
      </c>
      <c r="AE11" t="str">
        <f t="shared" si="8"/>
        <v>11000000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0x73,</v>
      </c>
      <c r="BE11" t="str">
        <f t="shared" si="13"/>
        <v>115,</v>
      </c>
      <c r="BF11" t="str">
        <f t="shared" si="14"/>
        <v>01110011</v>
      </c>
      <c r="BG11">
        <v>0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0</v>
      </c>
      <c r="BP11">
        <f t="shared" si="15"/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6"/>
        <v>00000000</v>
      </c>
      <c r="BX11" t="str">
        <f t="shared" si="17"/>
        <v>0,</v>
      </c>
      <c r="BY11" t="str">
        <f t="shared" si="18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0xFC,</v>
      </c>
      <c r="C12" t="str">
        <f t="shared" si="1"/>
        <v>252,</v>
      </c>
      <c r="D12" t="str">
        <f t="shared" si="2"/>
        <v>11111100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0xC0,</v>
      </c>
      <c r="AD12" t="str">
        <f t="shared" si="7"/>
        <v>192,</v>
      </c>
      <c r="AE12" t="str">
        <f t="shared" si="8"/>
        <v>11000000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0x63,</v>
      </c>
      <c r="BE12" t="str">
        <f t="shared" si="13"/>
        <v>99,</v>
      </c>
      <c r="BF12" t="str">
        <f t="shared" si="14"/>
        <v>01100011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f t="shared" si="15"/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6"/>
        <v>00000000</v>
      </c>
      <c r="BX12" t="str">
        <f t="shared" si="17"/>
        <v>0,</v>
      </c>
      <c r="BY12" t="str">
        <f t="shared" si="18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0xFC,</v>
      </c>
      <c r="C13" t="str">
        <f t="shared" si="1"/>
        <v>252,</v>
      </c>
      <c r="D13" t="str">
        <f t="shared" si="2"/>
        <v>11111100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0xC0,</v>
      </c>
      <c r="AD13" t="str">
        <f t="shared" si="7"/>
        <v>192,</v>
      </c>
      <c r="AE13" t="str">
        <f t="shared" si="8"/>
        <v>11000000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0x63,</v>
      </c>
      <c r="BE13" t="str">
        <f t="shared" si="13"/>
        <v>99,</v>
      </c>
      <c r="BF13" t="str">
        <f t="shared" si="14"/>
        <v>01100011</v>
      </c>
      <c r="BG13">
        <v>0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1</v>
      </c>
      <c r="BN13">
        <v>1</v>
      </c>
      <c r="BO13">
        <v>0</v>
      </c>
      <c r="BP13">
        <f t="shared" si="15"/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6"/>
        <v>00000000</v>
      </c>
      <c r="BX13" t="str">
        <f t="shared" si="17"/>
        <v>0,</v>
      </c>
      <c r="BY13" t="str">
        <f t="shared" si="18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0xCE,</v>
      </c>
      <c r="C14" t="str">
        <f t="shared" si="1"/>
        <v>206,</v>
      </c>
      <c r="D14" t="str">
        <f t="shared" si="2"/>
        <v>11001110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0xC0,</v>
      </c>
      <c r="AD14" t="str">
        <f t="shared" si="7"/>
        <v>192,</v>
      </c>
      <c r="AE14" t="str">
        <f t="shared" si="8"/>
        <v>11000000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0x63,</v>
      </c>
      <c r="BE14" t="str">
        <f t="shared" si="13"/>
        <v>99,</v>
      </c>
      <c r="BF14" t="str">
        <f t="shared" si="14"/>
        <v>01100011</v>
      </c>
      <c r="BG14">
        <v>0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1</v>
      </c>
      <c r="BN14">
        <v>1</v>
      </c>
      <c r="BO14">
        <v>0</v>
      </c>
      <c r="BP14">
        <f t="shared" si="15"/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6"/>
        <v>00000000</v>
      </c>
      <c r="BX14" t="str">
        <f t="shared" si="17"/>
        <v>0,</v>
      </c>
      <c r="BY14" t="str">
        <f t="shared" si="18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0xC0,</v>
      </c>
      <c r="AD15" t="str">
        <f t="shared" si="7"/>
        <v>192,</v>
      </c>
      <c r="AE15" t="str">
        <f t="shared" si="8"/>
        <v>11000000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0x63,</v>
      </c>
      <c r="BE15" t="str">
        <f t="shared" si="13"/>
        <v>99,</v>
      </c>
      <c r="BF15" t="str">
        <f t="shared" si="14"/>
        <v>01100011</v>
      </c>
      <c r="BG15">
        <v>0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0</v>
      </c>
      <c r="BP15">
        <f t="shared" si="15"/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6"/>
        <v>00000000</v>
      </c>
      <c r="BX15" t="str">
        <f t="shared" si="17"/>
        <v>0,</v>
      </c>
      <c r="BY15" t="str">
        <f t="shared" si="18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0xC0,</v>
      </c>
      <c r="AD16" t="str">
        <f t="shared" si="7"/>
        <v>192,</v>
      </c>
      <c r="AE16" t="str">
        <f t="shared" si="8"/>
        <v>11000000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0x63,</v>
      </c>
      <c r="BE16" t="str">
        <f t="shared" si="13"/>
        <v>99,</v>
      </c>
      <c r="BF16" t="str">
        <f t="shared" si="14"/>
        <v>01100011</v>
      </c>
      <c r="BG16">
        <v>0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0</v>
      </c>
      <c r="BP16">
        <f t="shared" si="15"/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6"/>
        <v>00000000</v>
      </c>
      <c r="BX16" t="str">
        <f t="shared" si="17"/>
        <v>0,</v>
      </c>
      <c r="BY16" t="str">
        <f t="shared" si="18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0xC0,</v>
      </c>
      <c r="AD17" t="str">
        <f t="shared" si="7"/>
        <v>192,</v>
      </c>
      <c r="AE17" t="str">
        <f t="shared" si="8"/>
        <v>11000000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0x63,</v>
      </c>
      <c r="BE17" t="str">
        <f t="shared" si="13"/>
        <v>99,</v>
      </c>
      <c r="BF17" t="str">
        <f t="shared" si="14"/>
        <v>01100011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f t="shared" si="15"/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6"/>
        <v>00000000</v>
      </c>
      <c r="BX17" t="str">
        <f t="shared" si="17"/>
        <v>0,</v>
      </c>
      <c r="BY17" t="str">
        <f t="shared" si="18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0xCE,</v>
      </c>
      <c r="C18" t="str">
        <f t="shared" si="1"/>
        <v>206,</v>
      </c>
      <c r="D18" t="str">
        <f t="shared" si="2"/>
        <v>11001110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6"/>
        <v>10000000</v>
      </c>
      <c r="BX18" t="str">
        <f t="shared" si="17"/>
        <v>128,</v>
      </c>
      <c r="BY18" t="str">
        <f t="shared" si="18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0xFC,</v>
      </c>
      <c r="C19" t="str">
        <f t="shared" si="1"/>
        <v>252,</v>
      </c>
      <c r="D19" t="str">
        <f t="shared" si="2"/>
        <v>11111100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0xC0,</v>
      </c>
      <c r="AD19" t="str">
        <f t="shared" si="7"/>
        <v>192,</v>
      </c>
      <c r="AE19" t="str">
        <f t="shared" si="8"/>
        <v>11000000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6"/>
        <v>10000000</v>
      </c>
      <c r="BX19" t="str">
        <f t="shared" si="17"/>
        <v>128,</v>
      </c>
      <c r="BY19" t="str">
        <f t="shared" si="18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0xF8,</v>
      </c>
      <c r="C20" t="str">
        <f t="shared" si="1"/>
        <v>248,</v>
      </c>
      <c r="D20" t="str">
        <f t="shared" si="2"/>
        <v>11111000</v>
      </c>
      <c r="E20">
        <v>1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0xC1,</v>
      </c>
      <c r="BE20" t="str">
        <f t="shared" si="13"/>
        <v>193,</v>
      </c>
      <c r="BF20" t="str">
        <f t="shared" si="14"/>
        <v>11000001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6"/>
        <v>10000000</v>
      </c>
      <c r="BX20" t="str">
        <f t="shared" si="17"/>
        <v>128,</v>
      </c>
      <c r="BY20" t="str">
        <f t="shared" si="18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9">MAX(E5:E20)</f>
        <v>1</v>
      </c>
      <c r="F22">
        <f t="shared" si="19"/>
        <v>1</v>
      </c>
      <c r="G22">
        <f t="shared" si="19"/>
        <v>1</v>
      </c>
      <c r="H22">
        <f t="shared" si="19"/>
        <v>1</v>
      </c>
      <c r="I22">
        <f t="shared" si="19"/>
        <v>1</v>
      </c>
      <c r="J22">
        <f t="shared" si="19"/>
        <v>1</v>
      </c>
      <c r="K22">
        <f t="shared" si="19"/>
        <v>1</v>
      </c>
      <c r="L22">
        <f t="shared" si="19"/>
        <v>0</v>
      </c>
      <c r="M22">
        <f t="shared" si="19"/>
        <v>0</v>
      </c>
      <c r="N22">
        <f t="shared" si="19"/>
        <v>0</v>
      </c>
      <c r="O22">
        <f t="shared" si="19"/>
        <v>0</v>
      </c>
      <c r="P22">
        <f t="shared" si="19"/>
        <v>0</v>
      </c>
      <c r="Q22">
        <f t="shared" si="19"/>
        <v>0</v>
      </c>
      <c r="R22">
        <f t="shared" si="19"/>
        <v>0</v>
      </c>
      <c r="S22">
        <f t="shared" si="19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20">MAX(AF5:AF20)</f>
        <v>1</v>
      </c>
      <c r="AG22">
        <f t="shared" si="20"/>
        <v>1</v>
      </c>
      <c r="AH22">
        <f t="shared" si="20"/>
        <v>1</v>
      </c>
      <c r="AI22">
        <f t="shared" si="20"/>
        <v>1</v>
      </c>
      <c r="AJ22">
        <f t="shared" si="20"/>
        <v>1</v>
      </c>
      <c r="AK22">
        <f t="shared" si="20"/>
        <v>1</v>
      </c>
      <c r="AL22">
        <f t="shared" si="20"/>
        <v>0</v>
      </c>
      <c r="AM22">
        <f t="shared" si="20"/>
        <v>0</v>
      </c>
      <c r="AN22">
        <f t="shared" si="20"/>
        <v>0</v>
      </c>
      <c r="AO22">
        <f t="shared" si="20"/>
        <v>0</v>
      </c>
      <c r="AP22">
        <f t="shared" si="20"/>
        <v>0</v>
      </c>
      <c r="AQ22">
        <f t="shared" si="20"/>
        <v>0</v>
      </c>
      <c r="AR22">
        <f t="shared" si="20"/>
        <v>0</v>
      </c>
      <c r="AS22">
        <f t="shared" si="20"/>
        <v>0</v>
      </c>
      <c r="AT22">
        <f t="shared" si="20"/>
        <v>0</v>
      </c>
      <c r="AU22">
        <f>MAX(AU5:AU20)</f>
        <v>0</v>
      </c>
      <c r="AV22" t="str">
        <f>SUM(AF22:AU22)&amp;AY20</f>
        <v>6,</v>
      </c>
      <c r="AW22" t="str">
        <f>AZ20&amp;DEC2HEX(AV22,2)&amp;AY20</f>
        <v xml:space="preserve"> 0x06,</v>
      </c>
      <c r="BC22" t="s">
        <v>2</v>
      </c>
      <c r="BG22">
        <f t="shared" ref="BG22:BU22" si="21">MAX(BG5:BG20)</f>
        <v>1</v>
      </c>
      <c r="BH22">
        <f t="shared" si="21"/>
        <v>1</v>
      </c>
      <c r="BI22">
        <f t="shared" si="21"/>
        <v>1</v>
      </c>
      <c r="BJ22">
        <f t="shared" si="21"/>
        <v>1</v>
      </c>
      <c r="BK22">
        <f t="shared" si="21"/>
        <v>1</v>
      </c>
      <c r="BL22">
        <f t="shared" si="21"/>
        <v>1</v>
      </c>
      <c r="BM22">
        <f t="shared" si="21"/>
        <v>1</v>
      </c>
      <c r="BN22">
        <f t="shared" si="21"/>
        <v>1</v>
      </c>
      <c r="BO22">
        <f t="shared" si="21"/>
        <v>1</v>
      </c>
      <c r="BP22">
        <f t="shared" si="21"/>
        <v>0</v>
      </c>
      <c r="BQ22">
        <f t="shared" si="21"/>
        <v>0</v>
      </c>
      <c r="BR22">
        <f t="shared" si="21"/>
        <v>0</v>
      </c>
      <c r="BS22">
        <f t="shared" si="21"/>
        <v>0</v>
      </c>
      <c r="BT22">
        <f t="shared" si="21"/>
        <v>0</v>
      </c>
      <c r="BU22">
        <f t="shared" si="21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7,248,0,252,0,206,0,198,0,198,0,198,0,206,0,252,0,252,0,206,0,198,0,198,0,198,0,206,0,252,0,248,0,     //  В     //  146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6,252,0,252,0,252,0,196,0,192,0,192,0,192,0,192,0,192,0,192,0,192,0,192,0,192,0,192,0,192,0,192,0,     //  Г     //  147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9,15,0,15,0,31,0,27,0,59,0,51,0,115,0,99,0,99,0,99,0,99,0,99,0,99,0,255,128,255,128,193,128,     //  Д     //  148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0xF8, 0x00, 0xFC, 0x00, 0xCE, 0x00, 0xC6, 0x00, 0xC6, 0x00, 0xC6, 0x00, 0xCE, 0x00, 0xFC, 0x00, 0xFC, 0x00, 0xCE, 0x00, 0xC6, 0x00, 0xC6, 0x00, 0xC6, 0x00, 0xCE, 0x00, 0xFC, 0x00, 0xF8, 0x00,     //  В     //  146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0x06, 0xFC, 0x00, 0xFC, 0x00, 0xFC, 0x00, 0xC4, 0x00, 0xC0, 0x00, 0xC0, 0x00, 0xC0, 0x00, 0xC0, 0x00, 0xC0, 0x00, 0xC0, 0x00, 0xC0, 0x00, 0xC0, 0x00, 0xC0, 0x00, 0xC0, 0x00, 0xC0, 0x00, 0xC0, 0x00,     //  Г     //  147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0x0F, 0x00, 0x0F, 0x00, 0x1F, 0x00, 0x1B, 0x00, 0x3B, 0x00, 0x33, 0x00, 0x73, 0x00, 0x63, 0x00, 0x63, 0x00, 0x63, 0x00, 0x63, 0x00, 0x63, 0x00, 0x63, 0x00, 0xFF, 0x80, 0xFF, 0x80, 0xC1, 0x80,     //  Д     //  148</v>
      </c>
    </row>
    <row r="28" spans="1:79">
      <c r="A28" s="1" t="str">
        <f>$B$24</f>
        <v>7,248,0,252,0,206,0,198,0,198,0,198,0,206,0,252,0,252,0,206,0,198,0,198,0,198,0,206,0,252,0,248,0,     //  В     //  146</v>
      </c>
      <c r="E28" t="s">
        <v>4</v>
      </c>
      <c r="AB28" s="1" t="str">
        <f>$AC$24</f>
        <v>6,252,0,252,0,252,0,196,0,192,0,192,0,192,0,192,0,192,0,192,0,192,0,192,0,192,0,192,0,192,0,192,0,     //  Г     //  147</v>
      </c>
      <c r="AF28" t="s">
        <v>4</v>
      </c>
      <c r="BC28" s="1" t="str">
        <f>$BD$24</f>
        <v>9,15,0,15,0,31,0,27,0,59,0,51,0,115,0,99,0,99,0,99,0,99,0,99,0,99,0,255,128,255,128,193,128,     //  Д     //  148</v>
      </c>
      <c r="BG28" t="s">
        <v>4</v>
      </c>
    </row>
    <row r="29" spans="1:79">
      <c r="A29" s="2" t="str">
        <f>$B$25</f>
        <v xml:space="preserve"> 0x07, 0xF8, 0x00, 0xFC, 0x00, 0xCE, 0x00, 0xC6, 0x00, 0xC6, 0x00, 0xC6, 0x00, 0xCE, 0x00, 0xFC, 0x00, 0xFC, 0x00, 0xCE, 0x00, 0xC6, 0x00, 0xC6, 0x00, 0xC6, 0x00, 0xCE, 0x00, 0xFC, 0x00, 0xF8, 0x00,     //  В     //  146</v>
      </c>
      <c r="E29" t="s">
        <v>3</v>
      </c>
      <c r="AB29" s="2" t="str">
        <f>$AC$25</f>
        <v xml:space="preserve"> 0x06, 0xFC, 0x00, 0xFC, 0x00, 0xFC, 0x00, 0xC4, 0x00, 0xC0, 0x00, 0xC0, 0x00, 0xC0, 0x00, 0xC0, 0x00, 0xC0, 0x00, 0xC0, 0x00, 0xC0, 0x00, 0xC0, 0x00, 0xC0, 0x00, 0xC0, 0x00, 0xC0, 0x00, 0xC0, 0x00,     //  Г     //  147</v>
      </c>
      <c r="AF29" t="s">
        <v>3</v>
      </c>
      <c r="BC29" s="2" t="str">
        <f>$BD$25</f>
        <v xml:space="preserve"> 0x09, 0x0F, 0x00, 0x0F, 0x00, 0x1F, 0x00, 0x1B, 0x00, 0x3B, 0x00, 0x33, 0x00, 0x73, 0x00, 0x63, 0x00, 0x63, 0x00, 0x63, 0x00, 0x63, 0x00, 0x63, 0x00, 0x63, 0x00, 0xFF, 0x80, 0xFF, 0x80, 0xC1, 0x80,     //  Д     //  148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8:G17 H8:L12 E5:N5 L13:L17 M8:N17 G18:N19 H13:K15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M18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3:L17 E18:N20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30" priority="11" operator="greaterThan">
      <formula>1</formula>
    </cfRule>
  </conditionalFormatting>
  <conditionalFormatting sqref="AF6:AG20 AH6:AO7 AH18:AO19 AF5:AO5 AH8:AM17 AH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N19 AO13:AO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9" priority="6" operator="greaterThan">
      <formula>1</formula>
    </cfRule>
  </conditionalFormatting>
  <conditionalFormatting sqref="BG6:BH20 BI6:BP7 BI8:BI17 BJ8:BN12 BG5:BP5 BN13:BN17 BO8:BP17 BJ13:BM15 BI18:BP19 BM16:BM17 BJ16:BJ17 BO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8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4:CB29"/>
  <sheetViews>
    <sheetView topLeftCell="Q2" workbookViewId="0">
      <selection activeCell="BW2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149</v>
      </c>
      <c r="Z4" t="s">
        <v>5</v>
      </c>
      <c r="AB4" s="3">
        <v>150</v>
      </c>
      <c r="BA4" t="s">
        <v>5</v>
      </c>
      <c r="BC4" s="3">
        <v>151</v>
      </c>
      <c r="CB4" t="s">
        <v>5</v>
      </c>
    </row>
    <row r="5" spans="1:80">
      <c r="A5" s="3" t="s">
        <v>27</v>
      </c>
      <c r="B5" t="str">
        <f>Z5&amp;Y5&amp;BIN2HEX(D5,2)&amp;X5</f>
        <v xml:space="preserve"> 0xFE,</v>
      </c>
      <c r="C5" t="str">
        <f>Z5&amp;BIN2DEC(D5)&amp;X5</f>
        <v>254,</v>
      </c>
      <c r="D5" t="str">
        <f>E5&amp;F5&amp;G5&amp;H5&amp;I5&amp;J5&amp;K5&amp;L5</f>
        <v>11111110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28</v>
      </c>
      <c r="AC5" t="str">
        <f>BA5&amp;AZ5&amp;BIN2HEX(AE5,2)&amp;AY5</f>
        <v xml:space="preserve"> 0xCC,</v>
      </c>
      <c r="AD5" t="str">
        <f>BA5&amp;BIN2DEC(AE5)&amp;AY5</f>
        <v>204,</v>
      </c>
      <c r="AE5" t="str">
        <f>AF5&amp;AG5&amp;AH5&amp;AI5&amp;AJ5&amp;AK5&amp;AL5&amp;AM5</f>
        <v>11001100</v>
      </c>
      <c r="AF5">
        <v>1</v>
      </c>
      <c r="AG5">
        <v>1</v>
      </c>
      <c r="AH5">
        <v>0</v>
      </c>
      <c r="AI5">
        <v>0</v>
      </c>
      <c r="AJ5">
        <v>1</v>
      </c>
      <c r="AK5">
        <v>1</v>
      </c>
      <c r="AL5">
        <v>0</v>
      </c>
      <c r="AM5">
        <v>0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29</v>
      </c>
      <c r="BD5" t="str">
        <f>CB5&amp;CA5&amp;BIN2HEX(BF5,2)&amp;BZ5</f>
        <v xml:space="preserve"> 0x3C,</v>
      </c>
      <c r="BE5" t="str">
        <f>CB5&amp;BIN2DEC(BF5)&amp;BZ5</f>
        <v>60,</v>
      </c>
      <c r="BF5" t="str">
        <f>BG5&amp;BH5&amp;BI5&amp;BJ5&amp;BK5&amp;BL5&amp;BM5&amp;BN5</f>
        <v>00111100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0xFE,</v>
      </c>
      <c r="C6" t="str">
        <f t="shared" ref="C6:C20" si="1">Z6&amp;BIN2DEC(D6)&amp;X6</f>
        <v>254,</v>
      </c>
      <c r="D6" t="str">
        <f t="shared" ref="D6:D20" si="2">E6&amp;F6&amp;G6&amp;H6&amp;I6&amp;J6&amp;K6&amp;L6</f>
        <v>11111110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0xCC,</v>
      </c>
      <c r="AD6" t="str">
        <f t="shared" ref="AD6:AD20" si="7">BA6&amp;BIN2DEC(AE6)&amp;AY6</f>
        <v>204,</v>
      </c>
      <c r="AE6" t="str">
        <f t="shared" ref="AE6:AE20" si="8">AF6&amp;AG6&amp;AH6&amp;AI6&amp;AJ6&amp;AK6&amp;AL6&amp;AM6</f>
        <v>11001100</v>
      </c>
      <c r="AF6">
        <v>1</v>
      </c>
      <c r="AG6">
        <v>1</v>
      </c>
      <c r="AH6">
        <v>0</v>
      </c>
      <c r="AI6">
        <v>0</v>
      </c>
      <c r="AJ6">
        <v>1</v>
      </c>
      <c r="AK6">
        <v>1</v>
      </c>
      <c r="AL6">
        <v>0</v>
      </c>
      <c r="AM6">
        <v>0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0x7E,</v>
      </c>
      <c r="BE6" t="str">
        <f t="shared" ref="BE6:BE20" si="13">CB6&amp;BIN2DEC(BF6)&amp;BZ6</f>
        <v>126,</v>
      </c>
      <c r="BF6" t="str">
        <f t="shared" ref="BF6:BF20" si="14">BG6&amp;BH6&amp;BI6&amp;BJ6&amp;BK6&amp;BL6&amp;BM6&amp;BN6</f>
        <v>01111110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0xC2,</v>
      </c>
      <c r="C7" t="str">
        <f t="shared" si="1"/>
        <v>194,</v>
      </c>
      <c r="D7" t="str">
        <f t="shared" si="2"/>
        <v>11000010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0xCC,</v>
      </c>
      <c r="AD7" t="str">
        <f t="shared" si="7"/>
        <v>204,</v>
      </c>
      <c r="AE7" t="str">
        <f t="shared" si="8"/>
        <v>11001100</v>
      </c>
      <c r="AF7">
        <v>1</v>
      </c>
      <c r="AG7">
        <v>1</v>
      </c>
      <c r="AH7">
        <v>0</v>
      </c>
      <c r="AI7">
        <v>0</v>
      </c>
      <c r="AJ7">
        <v>1</v>
      </c>
      <c r="AK7">
        <v>1</v>
      </c>
      <c r="AL7">
        <v>0</v>
      </c>
      <c r="AM7">
        <v>0</v>
      </c>
      <c r="AN7">
        <v>1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11000000</v>
      </c>
      <c r="AW7" t="str">
        <f t="shared" si="10"/>
        <v>192,</v>
      </c>
      <c r="AX7" t="str">
        <f t="shared" si="11"/>
        <v xml:space="preserve"> 0xC0,</v>
      </c>
      <c r="AY7" t="s">
        <v>0</v>
      </c>
      <c r="AZ7" t="s">
        <v>1</v>
      </c>
      <c r="BD7" t="str">
        <f t="shared" si="12"/>
        <v xml:space="preserve"> 0xE7,</v>
      </c>
      <c r="BE7" t="str">
        <f t="shared" si="13"/>
        <v>231,</v>
      </c>
      <c r="BF7" t="str">
        <f t="shared" si="14"/>
        <v>11100111</v>
      </c>
      <c r="BG7">
        <v>1</v>
      </c>
      <c r="BH7">
        <v>1</v>
      </c>
      <c r="BI7">
        <v>1</v>
      </c>
      <c r="BJ7">
        <v>0</v>
      </c>
      <c r="BK7">
        <v>0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0xC0,</v>
      </c>
      <c r="C8" t="str">
        <f t="shared" si="1"/>
        <v>192,</v>
      </c>
      <c r="D8" t="str">
        <f t="shared" si="2"/>
        <v>11000000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0x6D,</v>
      </c>
      <c r="AD8" t="str">
        <f t="shared" si="7"/>
        <v>109,</v>
      </c>
      <c r="AE8" t="str">
        <f t="shared" si="8"/>
        <v>01101101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0x6D,</v>
      </c>
      <c r="AD9" t="str">
        <f t="shared" si="7"/>
        <v>109,</v>
      </c>
      <c r="AE9" t="str">
        <f t="shared" si="8"/>
        <v>01101101</v>
      </c>
      <c r="AF9">
        <v>0</v>
      </c>
      <c r="AG9">
        <v>1</v>
      </c>
      <c r="AH9">
        <v>1</v>
      </c>
      <c r="AI9">
        <v>0</v>
      </c>
      <c r="AJ9">
        <v>1</v>
      </c>
      <c r="AK9">
        <v>1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0x2D,</v>
      </c>
      <c r="AD10" t="str">
        <f t="shared" si="7"/>
        <v>45,</v>
      </c>
      <c r="AE10" t="str">
        <f t="shared" si="8"/>
        <v>00101101</v>
      </c>
      <c r="AF10">
        <v>0</v>
      </c>
      <c r="AG10">
        <v>0</v>
      </c>
      <c r="AH10">
        <v>1</v>
      </c>
      <c r="AI10">
        <v>0</v>
      </c>
      <c r="AJ10">
        <v>1</v>
      </c>
      <c r="AK10">
        <v>1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0x07,</v>
      </c>
      <c r="BE10" t="str">
        <f t="shared" si="13"/>
        <v>7,</v>
      </c>
      <c r="BF10" t="str">
        <f t="shared" si="14"/>
        <v>00000111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0x3F,</v>
      </c>
      <c r="AD11" t="str">
        <f t="shared" si="7"/>
        <v>63,</v>
      </c>
      <c r="AE11" t="str">
        <f t="shared" si="8"/>
        <v>00111111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0xFC,</v>
      </c>
      <c r="C12" t="str">
        <f t="shared" si="1"/>
        <v>252,</v>
      </c>
      <c r="D12" t="str">
        <f t="shared" si="2"/>
        <v>11111100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0x1E,</v>
      </c>
      <c r="AD12" t="str">
        <f t="shared" si="7"/>
        <v>30,</v>
      </c>
      <c r="AE12" t="str">
        <f t="shared" si="8"/>
        <v>00011110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0x1C,</v>
      </c>
      <c r="BE12" t="str">
        <f t="shared" si="13"/>
        <v>28,</v>
      </c>
      <c r="BF12" t="str">
        <f t="shared" si="14"/>
        <v>00011100</v>
      </c>
      <c r="BG12">
        <v>0</v>
      </c>
      <c r="BH12">
        <v>0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0xFC,</v>
      </c>
      <c r="C13" t="str">
        <f t="shared" si="1"/>
        <v>252,</v>
      </c>
      <c r="D13" t="str">
        <f t="shared" si="2"/>
        <v>11111100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0x1E,</v>
      </c>
      <c r="AD13" t="str">
        <f t="shared" si="7"/>
        <v>30,</v>
      </c>
      <c r="AE13" t="str">
        <f t="shared" si="8"/>
        <v>00011110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0x0E,</v>
      </c>
      <c r="BE13" t="str">
        <f t="shared" si="13"/>
        <v>14,</v>
      </c>
      <c r="BF13" t="str">
        <f t="shared" si="14"/>
        <v>00001110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0xFC,</v>
      </c>
      <c r="C14" t="str">
        <f t="shared" si="1"/>
        <v>252,</v>
      </c>
      <c r="D14" t="str">
        <f t="shared" si="2"/>
        <v>11111100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0x3F,</v>
      </c>
      <c r="AD14" t="str">
        <f t="shared" si="7"/>
        <v>63,</v>
      </c>
      <c r="AE14" t="str">
        <f t="shared" si="8"/>
        <v>00111111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0x07,</v>
      </c>
      <c r="BE14" t="str">
        <f t="shared" si="13"/>
        <v>7,</v>
      </c>
      <c r="BF14" t="str">
        <f t="shared" si="14"/>
        <v>00000111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0x2D,</v>
      </c>
      <c r="AD15" t="str">
        <f t="shared" si="7"/>
        <v>45,</v>
      </c>
      <c r="AE15" t="str">
        <f t="shared" si="8"/>
        <v>00101101</v>
      </c>
      <c r="AF15">
        <v>0</v>
      </c>
      <c r="AG15">
        <v>0</v>
      </c>
      <c r="AH15">
        <v>1</v>
      </c>
      <c r="AI15">
        <v>0</v>
      </c>
      <c r="AJ15">
        <v>1</v>
      </c>
      <c r="AK15">
        <v>1</v>
      </c>
      <c r="AL15">
        <v>0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0x03,</v>
      </c>
      <c r="BE15" t="str">
        <f t="shared" si="13"/>
        <v>3,</v>
      </c>
      <c r="BF15" t="str">
        <f t="shared" si="14"/>
        <v>00000011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0xC0,</v>
      </c>
      <c r="C16" t="str">
        <f t="shared" si="1"/>
        <v>192,</v>
      </c>
      <c r="D16" t="str">
        <f t="shared" si="2"/>
        <v>11000000</v>
      </c>
      <c r="E16">
        <v>1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0x6D,</v>
      </c>
      <c r="AD16" t="str">
        <f t="shared" si="7"/>
        <v>109,</v>
      </c>
      <c r="AE16" t="str">
        <f t="shared" si="8"/>
        <v>01101101</v>
      </c>
      <c r="AF16">
        <v>0</v>
      </c>
      <c r="AG16">
        <v>1</v>
      </c>
      <c r="AH16">
        <v>1</v>
      </c>
      <c r="AI16">
        <v>0</v>
      </c>
      <c r="AJ16">
        <v>1</v>
      </c>
      <c r="AK16">
        <v>1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0xC3,</v>
      </c>
      <c r="BE16" t="str">
        <f t="shared" si="13"/>
        <v>195,</v>
      </c>
      <c r="BF16" t="str">
        <f t="shared" si="14"/>
        <v>11000011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0xC0,</v>
      </c>
      <c r="C17" t="str">
        <f t="shared" si="1"/>
        <v>192,</v>
      </c>
      <c r="D17" t="str">
        <f t="shared" si="2"/>
        <v>11000000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0xCC,</v>
      </c>
      <c r="AD17" t="str">
        <f t="shared" si="7"/>
        <v>204,</v>
      </c>
      <c r="AE17" t="str">
        <f t="shared" si="8"/>
        <v>11001100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0xC3,</v>
      </c>
      <c r="BE17" t="str">
        <f t="shared" si="13"/>
        <v>195,</v>
      </c>
      <c r="BF17" t="str">
        <f t="shared" si="14"/>
        <v>11000011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0xC2,</v>
      </c>
      <c r="C18" t="str">
        <f t="shared" si="1"/>
        <v>194,</v>
      </c>
      <c r="D18" t="str">
        <f t="shared" si="2"/>
        <v>11000010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0xCC,</v>
      </c>
      <c r="AD18" t="str">
        <f t="shared" si="7"/>
        <v>204,</v>
      </c>
      <c r="AE18" t="str">
        <f t="shared" si="8"/>
        <v>11001100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0</v>
      </c>
      <c r="AM18">
        <v>0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0xE7,</v>
      </c>
      <c r="BE18" t="str">
        <f t="shared" si="13"/>
        <v>231,</v>
      </c>
      <c r="BF18" t="str">
        <f t="shared" si="14"/>
        <v>11100111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0xFE,</v>
      </c>
      <c r="C19" t="str">
        <f t="shared" si="1"/>
        <v>254,</v>
      </c>
      <c r="D19" t="str">
        <f t="shared" si="2"/>
        <v>11111110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0xCC,</v>
      </c>
      <c r="AD19" t="str">
        <f t="shared" si="7"/>
        <v>204,</v>
      </c>
      <c r="AE19" t="str">
        <f t="shared" si="8"/>
        <v>11001100</v>
      </c>
      <c r="AF19">
        <v>1</v>
      </c>
      <c r="AG19">
        <v>1</v>
      </c>
      <c r="AH19">
        <v>0</v>
      </c>
      <c r="AI19">
        <v>0</v>
      </c>
      <c r="AJ19">
        <v>1</v>
      </c>
      <c r="AK19">
        <v>1</v>
      </c>
      <c r="AL19">
        <v>0</v>
      </c>
      <c r="AM19">
        <v>0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0x7E,</v>
      </c>
      <c r="BE19" t="str">
        <f t="shared" si="13"/>
        <v>126,</v>
      </c>
      <c r="BF19" t="str">
        <f t="shared" si="14"/>
        <v>01111110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0xFE,</v>
      </c>
      <c r="C20" t="str">
        <f t="shared" si="1"/>
        <v>254,</v>
      </c>
      <c r="D20" t="str">
        <f t="shared" si="2"/>
        <v>11111110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0xCC,</v>
      </c>
      <c r="AD20" t="str">
        <f t="shared" si="7"/>
        <v>204,</v>
      </c>
      <c r="AE20" t="str">
        <f t="shared" si="8"/>
        <v>11001100</v>
      </c>
      <c r="AF20">
        <v>1</v>
      </c>
      <c r="AG20">
        <v>1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0x3C,</v>
      </c>
      <c r="BE20" t="str">
        <f t="shared" si="13"/>
        <v>60,</v>
      </c>
      <c r="BF20" t="str">
        <f t="shared" si="14"/>
        <v>00111100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7,254,0,254,0,194,0,192,0,192,0,192,0,192,0,252,0,252,0,252,0,192,0,192,0,192,0,194,0,254,0,254,0,     //  Е     //  149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10,204,192,204,192,204,192,109,128,109,128,45,0,63,0,30,0,30,0,63,0,45,0,109,128,204,192,204,192,204,192,204,192,     //  Ж     //  150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8,60,0,126,0,231,0,195,0,195,0,7,0,14,0,28,0,14,0,7,0,3,0,195,0,195,0,231,0,126,0,60,0,     //  З     //  151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0xFE, 0x00, 0xFE, 0x00, 0xC2, 0x00, 0xC0, 0x00, 0xC0, 0x00, 0xC0, 0x00, 0xC0, 0x00, 0xFC, 0x00, 0xFC, 0x00, 0xFC, 0x00, 0xC0, 0x00, 0xC0, 0x00, 0xC0, 0x00, 0xC2, 0x00, 0xFE, 0x00, 0xFE, 0x00,     //  Е     //  149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0xCC, 0xC0, 0xCC, 0xC0, 0xCC, 0xC0, 0x6D, 0x80, 0x6D, 0x80, 0x2D, 0x00, 0x3F, 0x00, 0x1E, 0x00, 0x1E, 0x00, 0x3F, 0x00, 0x2D, 0x00, 0x6D, 0x80, 0xCC, 0xC0, 0xCC, 0xC0, 0xCC, 0xC0, 0xCC, 0xC0,     //  Ж     //  150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0x3C, 0x00, 0x7E, 0x00, 0xE7, 0x00, 0xC3, 0x00, 0xC3, 0x00, 0x07, 0x00, 0x0E, 0x00, 0x1C, 0x00, 0x0E, 0x00, 0x07, 0x00, 0x03, 0x00, 0xC3, 0x00, 0xC3, 0x00, 0xE7, 0x00, 0x7E, 0x00, 0x3C, 0x00,     //  З     //  151</v>
      </c>
    </row>
    <row r="28" spans="1:79">
      <c r="A28" s="1" t="str">
        <f>$B$24</f>
        <v>7,254,0,254,0,194,0,192,0,192,0,192,0,192,0,252,0,252,0,252,0,192,0,192,0,192,0,194,0,254,0,254,0,     //  Е     //  149</v>
      </c>
      <c r="E28" t="s">
        <v>4</v>
      </c>
      <c r="AB28" s="1" t="str">
        <f>$AC$24</f>
        <v>10,204,192,204,192,204,192,109,128,109,128,45,0,63,0,30,0,30,0,63,0,45,0,109,128,204,192,204,192,204,192,204,192,     //  Ж     //  150</v>
      </c>
      <c r="AF28" t="s">
        <v>4</v>
      </c>
      <c r="BC28" s="1" t="str">
        <f>$BD$24</f>
        <v>8,60,0,126,0,231,0,195,0,195,0,7,0,14,0,28,0,14,0,7,0,3,0,195,0,195,0,231,0,126,0,60,0,     //  З     //  151</v>
      </c>
      <c r="BG28" t="s">
        <v>4</v>
      </c>
    </row>
    <row r="29" spans="1:79">
      <c r="A29" s="2" t="str">
        <f>$B$25</f>
        <v xml:space="preserve"> 0x07, 0xFE, 0x00, 0xFE, 0x00, 0xC2, 0x00, 0xC0, 0x00, 0xC0, 0x00, 0xC0, 0x00, 0xC0, 0x00, 0xFC, 0x00, 0xFC, 0x00, 0xFC, 0x00, 0xC0, 0x00, 0xC0, 0x00, 0xC0, 0x00, 0xC2, 0x00, 0xFE, 0x00, 0xFE, 0x00,     //  Е     //  149</v>
      </c>
      <c r="E29" t="s">
        <v>3</v>
      </c>
      <c r="AB29" s="2" t="str">
        <f>$AC$25</f>
        <v xml:space="preserve"> 0x0A, 0xCC, 0xC0, 0xCC, 0xC0, 0xCC, 0xC0, 0x6D, 0x80, 0x6D, 0x80, 0x2D, 0x00, 0x3F, 0x00, 0x1E, 0x00, 0x1E, 0x00, 0x3F, 0x00, 0x2D, 0x00, 0x6D, 0x80, 0xCC, 0xC0, 0xCC, 0xC0, 0xCC, 0xC0, 0xCC, 0xC0,     //  Ж     //  150</v>
      </c>
      <c r="AF29" t="s">
        <v>3</v>
      </c>
      <c r="BC29" s="2" t="str">
        <f>$BD$25</f>
        <v xml:space="preserve"> 0x08, 0x3C, 0x00, 0x7E, 0x00, 0xE7, 0x00, 0xC3, 0x00, 0xC3, 0x00, 0x07, 0x00, 0x0E, 0x00, 0x1C, 0x00, 0x0E, 0x00, 0x07, 0x00, 0x03, 0x00, 0xC3, 0x00, 0xC3, 0x00, 0xE7, 0x00, 0x7E, 0x00, 0x3C, 0x00,     //  З     //  151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13:K13 H8:L12 E5:N5 G8:G17 G20 E6:F20 M8:M17 M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M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 M14:N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7" priority="11" operator="greaterThan">
      <formula>1</formula>
    </cfRule>
  </conditionalFormatting>
  <conditionalFormatting sqref="AH6:AO7 AH18:AO19 AH8:AH17 AI8:AM12 AF5:AO5 AI13:AL15 AI16 AF6:AG20 AM13:AM17 AN8:AO17 AM20:AO20 AJ16:AK17 AJ20:AK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6" priority="6" operator="greaterThan">
      <formula>1</formula>
    </cfRule>
  </conditionalFormatting>
  <conditionalFormatting sqref="BG6:BH20 BI6:BP7 BI18:BP19 BI8:BI17 BJ13:BM13 BJ8:BN12 BG5:BP5 BO8:BP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9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5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4:CB29"/>
  <sheetViews>
    <sheetView topLeftCell="Q1" workbookViewId="0">
      <selection activeCell="CD16" sqref="CD1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152</v>
      </c>
      <c r="Z4" t="s">
        <v>5</v>
      </c>
      <c r="AB4" s="3">
        <v>153</v>
      </c>
      <c r="BA4" t="s">
        <v>5</v>
      </c>
      <c r="BC4" s="3">
        <v>154</v>
      </c>
      <c r="CB4" t="s">
        <v>5</v>
      </c>
    </row>
    <row r="5" spans="1:80">
      <c r="A5" s="3" t="s">
        <v>30</v>
      </c>
      <c r="B5" t="str">
        <f>Z5&amp;Y5&amp;BIN2HEX(D5,2)&amp;X5</f>
        <v xml:space="preserve"> 0xC3,</v>
      </c>
      <c r="C5" t="str">
        <f>Z5&amp;BIN2DEC(D5)&amp;X5</f>
        <v>195,</v>
      </c>
      <c r="D5" t="str">
        <f>E5&amp;F5&amp;G5&amp;H5&amp;I5&amp;J5&amp;K5&amp;L5</f>
        <v>11000011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31</v>
      </c>
      <c r="AC5" t="str">
        <f>BA5&amp;AZ5&amp;BIN2HEX(AE5,2)&amp;AY5</f>
        <v xml:space="preserve"> 0x18,</v>
      </c>
      <c r="AD5" t="str">
        <f>BA5&amp;BIN2DEC(AE5)&amp;AY5</f>
        <v>24,</v>
      </c>
      <c r="AE5" t="str">
        <f>AF5&amp;AG5&amp;AH5&amp;AI5&amp;AJ5&amp;AK5&amp;AL5&amp;AM5</f>
        <v>00011000</v>
      </c>
      <c r="AF5">
        <v>0</v>
      </c>
      <c r="AG5">
        <v>0</v>
      </c>
      <c r="AH5">
        <v>0</v>
      </c>
      <c r="AI5">
        <v>1</v>
      </c>
      <c r="AJ5">
        <v>1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32</v>
      </c>
      <c r="BD5" t="str">
        <f>CB5&amp;CA5&amp;BIN2HEX(BF5,2)&amp;BZ5</f>
        <v xml:space="preserve"> 0xC3,</v>
      </c>
      <c r="BE5" t="str">
        <f>CB5&amp;BIN2DEC(BF5)&amp;BZ5</f>
        <v>195,</v>
      </c>
      <c r="BF5" t="str">
        <f>BG5&amp;BH5&amp;BI5&amp;BJ5&amp;BK5&amp;BL5&amp;BM5&amp;BN5</f>
        <v>11000011</v>
      </c>
      <c r="BG5">
        <v>1</v>
      </c>
      <c r="BH5">
        <v>1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0xC3,</v>
      </c>
      <c r="C6" t="str">
        <f t="shared" ref="C6:C20" si="1">Z6&amp;BIN2DEC(D6)&amp;X6</f>
        <v>195,</v>
      </c>
      <c r="D6" t="str">
        <f t="shared" ref="D6:D20" si="2">E6&amp;F6&amp;G6&amp;H6&amp;I6&amp;J6&amp;K6&amp;L6</f>
        <v>11000011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0xDB,</v>
      </c>
      <c r="AD6" t="str">
        <f t="shared" ref="AD6:AD20" si="7">BA6&amp;BIN2DEC(AE6)&amp;AY6</f>
        <v>219,</v>
      </c>
      <c r="AE6" t="str">
        <f t="shared" ref="AE6:AE20" si="8">AF6&amp;AG6&amp;AH6&amp;AI6&amp;AJ6&amp;AK6&amp;AL6&amp;AM6</f>
        <v>11011011</v>
      </c>
      <c r="AF6">
        <v>1</v>
      </c>
      <c r="AG6">
        <v>1</v>
      </c>
      <c r="AH6">
        <v>0</v>
      </c>
      <c r="AI6">
        <v>1</v>
      </c>
      <c r="AJ6">
        <v>1</v>
      </c>
      <c r="AK6">
        <v>0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0xC3,</v>
      </c>
      <c r="BE6" t="str">
        <f t="shared" ref="BE6:BE20" si="13">CB6&amp;BIN2DEC(BF6)&amp;BZ6</f>
        <v>195,</v>
      </c>
      <c r="BF6" t="str">
        <f t="shared" ref="BF6:BF20" si="14">BG6&amp;BH6&amp;BI6&amp;BJ6&amp;BK6&amp;BL6&amp;BM6&amp;BN6</f>
        <v>11000011</v>
      </c>
      <c r="BG6">
        <v>1</v>
      </c>
      <c r="BH6">
        <v>1</v>
      </c>
      <c r="BI6">
        <v>0</v>
      </c>
      <c r="BJ6">
        <v>0</v>
      </c>
      <c r="BK6">
        <v>0</v>
      </c>
      <c r="BL6">
        <v>0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0xC3,</v>
      </c>
      <c r="C7" t="str">
        <f t="shared" si="1"/>
        <v>195,</v>
      </c>
      <c r="D7" t="str">
        <f t="shared" si="2"/>
        <v>11000011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0xC3,</v>
      </c>
      <c r="AD7" t="str">
        <f t="shared" si="7"/>
        <v>195,</v>
      </c>
      <c r="AE7" t="str">
        <f t="shared" si="8"/>
        <v>11000011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1</v>
      </c>
      <c r="AM7">
        <v>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0xC3,</v>
      </c>
      <c r="BE7" t="str">
        <f t="shared" si="13"/>
        <v>195,</v>
      </c>
      <c r="BF7" t="str">
        <f t="shared" si="14"/>
        <v>11000011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0xC3,</v>
      </c>
      <c r="C8" t="str">
        <f t="shared" si="1"/>
        <v>195,</v>
      </c>
      <c r="D8" t="str">
        <f t="shared" si="2"/>
        <v>11000011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0xC3,</v>
      </c>
      <c r="AD8" t="str">
        <f t="shared" si="7"/>
        <v>195,</v>
      </c>
      <c r="AE8" t="str">
        <f t="shared" si="8"/>
        <v>11000011</v>
      </c>
      <c r="AF8">
        <v>1</v>
      </c>
      <c r="AG8">
        <v>1</v>
      </c>
      <c r="AH8">
        <v>0</v>
      </c>
      <c r="AI8">
        <v>0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0xC7,</v>
      </c>
      <c r="BE8" t="str">
        <f t="shared" si="13"/>
        <v>199,</v>
      </c>
      <c r="BF8" t="str">
        <f t="shared" si="14"/>
        <v>11000111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0xC3,</v>
      </c>
      <c r="C9" t="str">
        <f t="shared" si="1"/>
        <v>195,</v>
      </c>
      <c r="D9" t="str">
        <f t="shared" si="2"/>
        <v>11000011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0xC3,</v>
      </c>
      <c r="AD9" t="str">
        <f t="shared" si="7"/>
        <v>195,</v>
      </c>
      <c r="AE9" t="str">
        <f t="shared" si="8"/>
        <v>11000011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0xCE,</v>
      </c>
      <c r="BE9" t="str">
        <f t="shared" si="13"/>
        <v>206,</v>
      </c>
      <c r="BF9" t="str">
        <f t="shared" si="14"/>
        <v>11001110</v>
      </c>
      <c r="BG9">
        <v>1</v>
      </c>
      <c r="BH9">
        <v>1</v>
      </c>
      <c r="BI9">
        <v>0</v>
      </c>
      <c r="BJ9">
        <v>0</v>
      </c>
      <c r="BK9">
        <v>1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0xC3,</v>
      </c>
      <c r="C10" t="str">
        <f t="shared" si="1"/>
        <v>195,</v>
      </c>
      <c r="D10" t="str">
        <f t="shared" si="2"/>
        <v>11000011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0xC3,</v>
      </c>
      <c r="AD10" t="str">
        <f t="shared" si="7"/>
        <v>195,</v>
      </c>
      <c r="AE10" t="str">
        <f t="shared" si="8"/>
        <v>11000011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0xDC,</v>
      </c>
      <c r="BE10" t="str">
        <f t="shared" si="13"/>
        <v>220,</v>
      </c>
      <c r="BF10" t="str">
        <f t="shared" si="14"/>
        <v>11011100</v>
      </c>
      <c r="BG10">
        <v>1</v>
      </c>
      <c r="BH10">
        <v>1</v>
      </c>
      <c r="BI10">
        <v>0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0xC7,</v>
      </c>
      <c r="C11" t="str">
        <f t="shared" si="1"/>
        <v>199,</v>
      </c>
      <c r="D11" t="str">
        <f t="shared" si="2"/>
        <v>11000111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0xC7,</v>
      </c>
      <c r="AD11" t="str">
        <f t="shared" si="7"/>
        <v>199,</v>
      </c>
      <c r="AE11" t="str">
        <f t="shared" si="8"/>
        <v>11000111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0xF8,</v>
      </c>
      <c r="BE11" t="str">
        <f t="shared" si="13"/>
        <v>248,</v>
      </c>
      <c r="BF11" t="str">
        <f t="shared" si="14"/>
        <v>11111000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0xC7,</v>
      </c>
      <c r="C12" t="str">
        <f t="shared" si="1"/>
        <v>199,</v>
      </c>
      <c r="D12" t="str">
        <f t="shared" si="2"/>
        <v>11000111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0xC7,</v>
      </c>
      <c r="AD12" t="str">
        <f t="shared" si="7"/>
        <v>199,</v>
      </c>
      <c r="AE12" t="str">
        <f t="shared" si="8"/>
        <v>11000111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0xF0,</v>
      </c>
      <c r="BE12" t="str">
        <f t="shared" si="13"/>
        <v>240,</v>
      </c>
      <c r="BF12" t="str">
        <f t="shared" si="14"/>
        <v>11110000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0xCF,</v>
      </c>
      <c r="C13" t="str">
        <f t="shared" si="1"/>
        <v>207,</v>
      </c>
      <c r="D13" t="str">
        <f t="shared" si="2"/>
        <v>11001111</v>
      </c>
      <c r="E13">
        <v>1</v>
      </c>
      <c r="F13">
        <v>1</v>
      </c>
      <c r="G13">
        <v>0</v>
      </c>
      <c r="H13">
        <v>0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0xCF,</v>
      </c>
      <c r="AD13" t="str">
        <f t="shared" si="7"/>
        <v>207,</v>
      </c>
      <c r="AE13" t="str">
        <f t="shared" si="8"/>
        <v>11001111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0xF8,</v>
      </c>
      <c r="BE13" t="str">
        <f t="shared" si="13"/>
        <v>248,</v>
      </c>
      <c r="BF13" t="str">
        <f t="shared" si="14"/>
        <v>11111000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0xCB,</v>
      </c>
      <c r="C14" t="str">
        <f t="shared" si="1"/>
        <v>203,</v>
      </c>
      <c r="D14" t="str">
        <f t="shared" si="2"/>
        <v>11001011</v>
      </c>
      <c r="E14">
        <v>1</v>
      </c>
      <c r="F14">
        <v>1</v>
      </c>
      <c r="G14">
        <v>0</v>
      </c>
      <c r="H14">
        <v>0</v>
      </c>
      <c r="I14">
        <v>1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0xCB,</v>
      </c>
      <c r="AD14" t="str">
        <f t="shared" si="7"/>
        <v>203,</v>
      </c>
      <c r="AE14" t="str">
        <f t="shared" si="8"/>
        <v>11001011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0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0xDC,</v>
      </c>
      <c r="BE14" t="str">
        <f t="shared" si="13"/>
        <v>220,</v>
      </c>
      <c r="BF14" t="str">
        <f t="shared" si="14"/>
        <v>11011100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0xDB,</v>
      </c>
      <c r="C15" t="str">
        <f t="shared" si="1"/>
        <v>219,</v>
      </c>
      <c r="D15" t="str">
        <f t="shared" si="2"/>
        <v>11011011</v>
      </c>
      <c r="E15">
        <v>1</v>
      </c>
      <c r="F15">
        <v>1</v>
      </c>
      <c r="G15">
        <v>0</v>
      </c>
      <c r="H15">
        <v>1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0xDB,</v>
      </c>
      <c r="AD15" t="str">
        <f t="shared" si="7"/>
        <v>219,</v>
      </c>
      <c r="AE15" t="str">
        <f t="shared" si="8"/>
        <v>11011011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0xCE,</v>
      </c>
      <c r="BE15" t="str">
        <f t="shared" si="13"/>
        <v>206,</v>
      </c>
      <c r="BF15" t="str">
        <f t="shared" si="14"/>
        <v>11001110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0xD3,</v>
      </c>
      <c r="C16" t="str">
        <f t="shared" si="1"/>
        <v>211,</v>
      </c>
      <c r="D16" t="str">
        <f t="shared" si="2"/>
        <v>11010011</v>
      </c>
      <c r="E16">
        <v>1</v>
      </c>
      <c r="F16">
        <v>1</v>
      </c>
      <c r="G16">
        <v>0</v>
      </c>
      <c r="H16">
        <v>1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0xD3,</v>
      </c>
      <c r="AD16" t="str">
        <f t="shared" si="7"/>
        <v>211,</v>
      </c>
      <c r="AE16" t="str">
        <f t="shared" si="8"/>
        <v>11010011</v>
      </c>
      <c r="AF16">
        <v>1</v>
      </c>
      <c r="AG16">
        <v>1</v>
      </c>
      <c r="AH16">
        <v>0</v>
      </c>
      <c r="AI16">
        <v>1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0xC7,</v>
      </c>
      <c r="BE16" t="str">
        <f t="shared" si="13"/>
        <v>199,</v>
      </c>
      <c r="BF16" t="str">
        <f t="shared" si="14"/>
        <v>11000111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0xF3,</v>
      </c>
      <c r="C17" t="str">
        <f t="shared" si="1"/>
        <v>243,</v>
      </c>
      <c r="D17" t="str">
        <f t="shared" si="2"/>
        <v>11110011</v>
      </c>
      <c r="E17">
        <v>1</v>
      </c>
      <c r="F17">
        <v>1</v>
      </c>
      <c r="G17">
        <v>1</v>
      </c>
      <c r="H17">
        <v>1</v>
      </c>
      <c r="I17">
        <v>0</v>
      </c>
      <c r="J17">
        <v>0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0xF3,</v>
      </c>
      <c r="AD17" t="str">
        <f t="shared" si="7"/>
        <v>243,</v>
      </c>
      <c r="AE17" t="str">
        <f t="shared" si="8"/>
        <v>11110011</v>
      </c>
      <c r="AF17">
        <v>1</v>
      </c>
      <c r="AG17">
        <v>1</v>
      </c>
      <c r="AH17">
        <v>1</v>
      </c>
      <c r="AI17">
        <v>1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0xC3,</v>
      </c>
      <c r="BE17" t="str">
        <f t="shared" si="13"/>
        <v>195,</v>
      </c>
      <c r="BF17" t="str">
        <f t="shared" si="14"/>
        <v>11000011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0xE3,</v>
      </c>
      <c r="C18" t="str">
        <f t="shared" si="1"/>
        <v>227,</v>
      </c>
      <c r="D18" t="str">
        <f t="shared" si="2"/>
        <v>11100011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0xE3,</v>
      </c>
      <c r="AD18" t="str">
        <f t="shared" si="7"/>
        <v>227,</v>
      </c>
      <c r="AE18" t="str">
        <f t="shared" si="8"/>
        <v>11100011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0xC3,</v>
      </c>
      <c r="BE18" t="str">
        <f t="shared" si="13"/>
        <v>195,</v>
      </c>
      <c r="BF18" t="str">
        <f t="shared" si="14"/>
        <v>11000011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0xE3,</v>
      </c>
      <c r="C19" t="str">
        <f t="shared" si="1"/>
        <v>227,</v>
      </c>
      <c r="D19" t="str">
        <f t="shared" si="2"/>
        <v>11100011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0xE3,</v>
      </c>
      <c r="AD19" t="str">
        <f t="shared" si="7"/>
        <v>227,</v>
      </c>
      <c r="AE19" t="str">
        <f t="shared" si="8"/>
        <v>11100011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0xC3,</v>
      </c>
      <c r="BE19" t="str">
        <f t="shared" si="13"/>
        <v>195,</v>
      </c>
      <c r="BF19" t="str">
        <f t="shared" si="14"/>
        <v>11000011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0xC3,</v>
      </c>
      <c r="C20" t="str">
        <f t="shared" si="1"/>
        <v>195,</v>
      </c>
      <c r="D20" t="str">
        <f t="shared" si="2"/>
        <v>11000011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0xC3,</v>
      </c>
      <c r="AD20" t="str">
        <f t="shared" si="7"/>
        <v>195,</v>
      </c>
      <c r="AE20" t="str">
        <f t="shared" si="8"/>
        <v>11000011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8,195,0,195,0,195,0,195,0,195,0,195,0,199,0,199,0,207,0,203,0,219,0,211,0,243,0,227,0,227,0,195,0,     //  И     //  152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8,24,0,219,0,195,0,195,0,195,0,195,0,199,0,199,0,207,0,203,0,219,0,211,0,243,0,227,0,227,0,195,0,     //  Й     //  153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8,195,0,195,0,195,0,199,0,206,0,220,0,248,0,240,0,248,0,220,0,206,0,199,0,195,0,195,0,195,0,195,0,     //  К     //  154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0xC3, 0x00, 0xC3, 0x00, 0xC3, 0x00, 0xC3, 0x00, 0xC3, 0x00, 0xC3, 0x00, 0xC7, 0x00, 0xC7, 0x00, 0xCF, 0x00, 0xCB, 0x00, 0xDB, 0x00, 0xD3, 0x00, 0xF3, 0x00, 0xE3, 0x00, 0xE3, 0x00, 0xC3, 0x00,     //  И     //  152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0x18, 0x00, 0xDB, 0x00, 0xC3, 0x00, 0xC3, 0x00, 0xC3, 0x00, 0xC3, 0x00, 0xC7, 0x00, 0xC7, 0x00, 0xCF, 0x00, 0xCB, 0x00, 0xDB, 0x00, 0xD3, 0x00, 0xF3, 0x00, 0xE3, 0x00, 0xE3, 0x00, 0xC3, 0x00,     //  Й     //  153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0xC3, 0x00, 0xC3, 0x00, 0xC3, 0x00, 0xC7, 0x00, 0xCE, 0x00, 0xDC, 0x00, 0xF8, 0x00, 0xF0, 0x00, 0xF8, 0x00, 0xDC, 0x00, 0xCE, 0x00, 0xC7, 0x00, 0xC3, 0x00, 0xC3, 0x00, 0xC3, 0x00, 0xC3, 0x00,     //  К     //  154</v>
      </c>
    </row>
    <row r="28" spans="1:79">
      <c r="A28" s="1" t="str">
        <f>$B$24</f>
        <v>8,195,0,195,0,195,0,195,0,195,0,195,0,199,0,199,0,207,0,203,0,219,0,211,0,243,0,227,0,227,0,195,0,     //  И     //  152</v>
      </c>
      <c r="E28" t="s">
        <v>4</v>
      </c>
      <c r="AB28" s="1" t="str">
        <f>$AC$24</f>
        <v>8,24,0,219,0,195,0,195,0,195,0,195,0,199,0,199,0,207,0,203,0,219,0,211,0,243,0,227,0,227,0,195,0,     //  Й     //  153</v>
      </c>
      <c r="AF28" t="s">
        <v>4</v>
      </c>
      <c r="BC28" s="1" t="str">
        <f>$BD$24</f>
        <v>8,195,0,195,0,195,0,199,0,206,0,220,0,248,0,240,0,248,0,220,0,206,0,199,0,195,0,195,0,195,0,195,0,     //  К     //  154</v>
      </c>
      <c r="BG28" t="s">
        <v>4</v>
      </c>
    </row>
    <row r="29" spans="1:79">
      <c r="A29" s="2" t="str">
        <f>$B$25</f>
        <v xml:space="preserve"> 0x08, 0xC3, 0x00, 0xC3, 0x00, 0xC3, 0x00, 0xC3, 0x00, 0xC3, 0x00, 0xC3, 0x00, 0xC7, 0x00, 0xC7, 0x00, 0xCF, 0x00, 0xCB, 0x00, 0xDB, 0x00, 0xD3, 0x00, 0xF3, 0x00, 0xE3, 0x00, 0xE3, 0x00, 0xC3, 0x00,     //  И     //  152</v>
      </c>
      <c r="E29" t="s">
        <v>3</v>
      </c>
      <c r="AB29" s="2" t="str">
        <f>$AC$25</f>
        <v xml:space="preserve"> 0x08, 0x18, 0x00, 0xDB, 0x00, 0xC3, 0x00, 0xC3, 0x00, 0xC3, 0x00, 0xC3, 0x00, 0xC7, 0x00, 0xC7, 0x00, 0xCF, 0x00, 0xCB, 0x00, 0xDB, 0x00, 0xD3, 0x00, 0xF3, 0x00, 0xE3, 0x00, 0xE3, 0x00, 0xC3, 0x00,     //  Й     //  153</v>
      </c>
      <c r="AF29" t="s">
        <v>3</v>
      </c>
      <c r="BC29" s="2" t="str">
        <f>$BD$25</f>
        <v xml:space="preserve"> 0x08, 0xC3, 0x00, 0xC3, 0x00, 0xC3, 0x00, 0xC7, 0x00, 0xCE, 0x00, 0xDC, 0x00, 0xF8, 0x00, 0xF0, 0x00, 0xF8, 0x00, 0xDC, 0x00, 0xCE, 0x00, 0xC7, 0x00, 0xC3, 0x00, 0xC3, 0x00, 0xC3, 0x00, 0xC3, 0x00,     //  К     //  154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L13:L17 H13:K15 G8:G17 G20 E6:F20 M8:N17 M20:N20 K16:K17 K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4" priority="11" operator="greaterThan">
      <formula>1</formula>
    </cfRule>
  </conditionalFormatting>
  <conditionalFormatting sqref="AH6:AO7 AH18:AO19 AI8:AM12 AF5:AO5 AM13:AM17 AI13:AL15 AH8:AH17 AH20 AF6:AG20 AN8:AO17 AN20:AO20 AL16:AL17 AL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3" priority="6" operator="greaterThan">
      <formula>1</formula>
    </cfRule>
  </conditionalFormatting>
  <conditionalFormatting sqref="BI6:BP7 BI18:BP19 BG5:BP5 BI8:BO17 BG6:BH20 BI20:BO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8 BO13:BO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2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155</v>
      </c>
      <c r="Z4" t="s">
        <v>5</v>
      </c>
      <c r="AB4" s="3">
        <v>156</v>
      </c>
      <c r="BA4" t="s">
        <v>5</v>
      </c>
      <c r="BC4" s="3">
        <v>157</v>
      </c>
      <c r="CB4" t="s">
        <v>5</v>
      </c>
    </row>
    <row r="5" spans="1:80">
      <c r="A5" s="3" t="s">
        <v>33</v>
      </c>
      <c r="B5" t="str">
        <f>Z5&amp;Y5&amp;BIN2HEX(D5,2)&amp;X5</f>
        <v xml:space="preserve"> 0x03,</v>
      </c>
      <c r="C5" t="str">
        <f>Z5&amp;BIN2DEC(D5)&amp;X5</f>
        <v>3,</v>
      </c>
      <c r="D5" t="str">
        <f>E5&amp;F5&amp;G5&amp;H5&amp;I5&amp;J5&amp;K5&amp;L5</f>
        <v>00000011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34</v>
      </c>
      <c r="AC5" t="str">
        <f>BA5&amp;AZ5&amp;BIN2HEX(AE5,2)&amp;AY5</f>
        <v xml:space="preserve"> 0xC0,</v>
      </c>
      <c r="AD5" t="str">
        <f>BA5&amp;BIN2DEC(AE5)&amp;AY5</f>
        <v>192,</v>
      </c>
      <c r="AE5" t="str">
        <f>AF5&amp;AG5&amp;AH5&amp;AI5&amp;AJ5&amp;AK5&amp;AL5&amp;AM5</f>
        <v>11000000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35</v>
      </c>
      <c r="BD5" t="str">
        <f>CB5&amp;CA5&amp;BIN2HEX(BF5,2)&amp;BZ5</f>
        <v xml:space="preserve"> 0xC6,</v>
      </c>
      <c r="BE5" t="str">
        <f>CB5&amp;BIN2DEC(BF5)&amp;BZ5</f>
        <v>198,</v>
      </c>
      <c r="BF5" t="str">
        <f>BG5&amp;BH5&amp;BI5&amp;BJ5&amp;BK5&amp;BL5&amp;BM5&amp;BN5</f>
        <v>11000110</v>
      </c>
      <c r="BG5">
        <v>1</v>
      </c>
      <c r="BH5">
        <v>1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0x07,</v>
      </c>
      <c r="C6" t="str">
        <f t="shared" ref="C6:C20" si="1">Z6&amp;BIN2DEC(D6)&amp;X6</f>
        <v>7,</v>
      </c>
      <c r="D6" t="str">
        <f t="shared" ref="D6:D20" si="2">E6&amp;F6&amp;G6&amp;H6&amp;I6&amp;J6&amp;K6&amp;L6</f>
        <v>00000111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0xC0,</v>
      </c>
      <c r="AD6" t="str">
        <f t="shared" ref="AD6:AD20" si="7">BA6&amp;BIN2DEC(AE6)&amp;AY6</f>
        <v>192,</v>
      </c>
      <c r="AE6" t="str">
        <f t="shared" ref="AE6:AE20" si="8">AF6&amp;AG6&amp;AH6&amp;AI6&amp;AJ6&amp;AK6&amp;AL6&amp;AM6</f>
        <v>11000000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0xC6,</v>
      </c>
      <c r="BE6" t="str">
        <f t="shared" ref="BE6:BE20" si="13">CB6&amp;BIN2DEC(BF6)&amp;BZ6</f>
        <v>198,</v>
      </c>
      <c r="BF6" t="str">
        <f t="shared" ref="BF6:BF20" si="14">BG6&amp;BH6&amp;BI6&amp;BJ6&amp;BK6&amp;BL6&amp;BM6&amp;BN6</f>
        <v>11000110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0x07,</v>
      </c>
      <c r="C7" t="str">
        <f t="shared" si="1"/>
        <v>7,</v>
      </c>
      <c r="D7" t="str">
        <f t="shared" si="2"/>
        <v>00000111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0xC0,</v>
      </c>
      <c r="AD7" t="str">
        <f t="shared" si="7"/>
        <v>192,</v>
      </c>
      <c r="AE7" t="str">
        <f t="shared" si="8"/>
        <v>11000000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11000000</v>
      </c>
      <c r="AW7" t="str">
        <f t="shared" si="10"/>
        <v>192,</v>
      </c>
      <c r="AX7" t="str">
        <f t="shared" si="11"/>
        <v xml:space="preserve"> 0xC0,</v>
      </c>
      <c r="AY7" t="s">
        <v>0</v>
      </c>
      <c r="AZ7" t="s">
        <v>1</v>
      </c>
      <c r="BD7" t="str">
        <f t="shared" si="12"/>
        <v xml:space="preserve"> 0xC6,</v>
      </c>
      <c r="BE7" t="str">
        <f t="shared" si="13"/>
        <v>198,</v>
      </c>
      <c r="BF7" t="str">
        <f t="shared" si="14"/>
        <v>11000110</v>
      </c>
      <c r="BG7">
        <v>1</v>
      </c>
      <c r="BH7">
        <v>1</v>
      </c>
      <c r="BI7">
        <v>0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0x0F,</v>
      </c>
      <c r="C8" t="str">
        <f t="shared" si="1"/>
        <v>15,</v>
      </c>
      <c r="D8" t="str">
        <f t="shared" si="2"/>
        <v>00001111</v>
      </c>
      <c r="E8">
        <v>0</v>
      </c>
      <c r="F8">
        <v>0</v>
      </c>
      <c r="G8">
        <v>0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0xE1,</v>
      </c>
      <c r="AD8" t="str">
        <f t="shared" si="7"/>
        <v>225,</v>
      </c>
      <c r="AE8" t="str">
        <f t="shared" si="8"/>
        <v>11100001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1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11000000</v>
      </c>
      <c r="AW8" t="str">
        <f t="shared" si="10"/>
        <v>192,</v>
      </c>
      <c r="AX8" t="str">
        <f t="shared" si="11"/>
        <v xml:space="preserve"> 0xC0,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0x0F,</v>
      </c>
      <c r="C9" t="str">
        <f t="shared" si="1"/>
        <v>15,</v>
      </c>
      <c r="D9" t="str">
        <f t="shared" si="2"/>
        <v>00001111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0xE1,</v>
      </c>
      <c r="AD9" t="str">
        <f t="shared" si="7"/>
        <v>225,</v>
      </c>
      <c r="AE9" t="str">
        <f t="shared" si="8"/>
        <v>11100001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11000000</v>
      </c>
      <c r="AW9" t="str">
        <f t="shared" si="10"/>
        <v>192,</v>
      </c>
      <c r="AX9" t="str">
        <f t="shared" si="11"/>
        <v xml:space="preserve"> 0xC0,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0x1B,</v>
      </c>
      <c r="C10" t="str">
        <f t="shared" si="1"/>
        <v>27,</v>
      </c>
      <c r="D10" t="str">
        <f t="shared" si="2"/>
        <v>00011011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0xF3,</v>
      </c>
      <c r="AD10" t="str">
        <f t="shared" si="7"/>
        <v>243,</v>
      </c>
      <c r="AE10" t="str">
        <f t="shared" si="8"/>
        <v>11110011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11000000</v>
      </c>
      <c r="AW10" t="str">
        <f t="shared" si="10"/>
        <v>192,</v>
      </c>
      <c r="AX10" t="str">
        <f t="shared" si="11"/>
        <v xml:space="preserve"> 0xC0,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0x1B,</v>
      </c>
      <c r="C11" t="str">
        <f t="shared" si="1"/>
        <v>27,</v>
      </c>
      <c r="D11" t="str">
        <f t="shared" si="2"/>
        <v>00011011</v>
      </c>
      <c r="E11">
        <f>-E1029</f>
        <v>0</v>
      </c>
      <c r="F11">
        <v>0</v>
      </c>
      <c r="G11">
        <v>0</v>
      </c>
      <c r="H11">
        <v>1</v>
      </c>
      <c r="I11">
        <v>1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0xF3,</v>
      </c>
      <c r="AD11" t="str">
        <f t="shared" si="7"/>
        <v>243,</v>
      </c>
      <c r="AE11" t="str">
        <f t="shared" si="8"/>
        <v>11110011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0x3B,</v>
      </c>
      <c r="C12" t="str">
        <f t="shared" si="1"/>
        <v>59,</v>
      </c>
      <c r="D12" t="str">
        <f t="shared" si="2"/>
        <v>00111011</v>
      </c>
      <c r="E12">
        <v>0</v>
      </c>
      <c r="F12">
        <v>0</v>
      </c>
      <c r="G12">
        <v>1</v>
      </c>
      <c r="H12">
        <v>1</v>
      </c>
      <c r="I12">
        <v>1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0xFE,</v>
      </c>
      <c r="BE12" t="str">
        <f t="shared" si="13"/>
        <v>254,</v>
      </c>
      <c r="BF12" t="str">
        <f t="shared" si="14"/>
        <v>11111110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0x33,</v>
      </c>
      <c r="C13" t="str">
        <f t="shared" si="1"/>
        <v>51,</v>
      </c>
      <c r="D13" t="str">
        <f t="shared" si="2"/>
        <v>00110011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0xDE,</v>
      </c>
      <c r="AD13" t="str">
        <f t="shared" si="7"/>
        <v>222,</v>
      </c>
      <c r="AE13" t="str">
        <f t="shared" si="8"/>
        <v>11011110</v>
      </c>
      <c r="AF13">
        <v>1</v>
      </c>
      <c r="AG13">
        <v>1</v>
      </c>
      <c r="AH13">
        <v>0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0xFE,</v>
      </c>
      <c r="BE13" t="str">
        <f t="shared" si="13"/>
        <v>254,</v>
      </c>
      <c r="BF13" t="str">
        <f t="shared" si="14"/>
        <v>11111110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0x33,</v>
      </c>
      <c r="C14" t="str">
        <f t="shared" si="1"/>
        <v>51,</v>
      </c>
      <c r="D14" t="str">
        <f t="shared" si="2"/>
        <v>00110011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0xDE,</v>
      </c>
      <c r="AD14" t="str">
        <f t="shared" si="7"/>
        <v>222,</v>
      </c>
      <c r="AE14" t="str">
        <f t="shared" si="8"/>
        <v>11011110</v>
      </c>
      <c r="AF14">
        <v>1</v>
      </c>
      <c r="AG14">
        <v>1</v>
      </c>
      <c r="AH14">
        <v>0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0xFE,</v>
      </c>
      <c r="BE14" t="str">
        <f t="shared" si="13"/>
        <v>254,</v>
      </c>
      <c r="BF14" t="str">
        <f t="shared" si="14"/>
        <v>11111110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0x63,</v>
      </c>
      <c r="C15" t="str">
        <f t="shared" si="1"/>
        <v>99,</v>
      </c>
      <c r="D15" t="str">
        <f t="shared" si="2"/>
        <v>01100011</v>
      </c>
      <c r="E15">
        <v>0</v>
      </c>
      <c r="F15">
        <v>1</v>
      </c>
      <c r="G15">
        <v>1</v>
      </c>
      <c r="H15">
        <v>0</v>
      </c>
      <c r="I15">
        <v>0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0xCC,</v>
      </c>
      <c r="AD15" t="str">
        <f t="shared" si="7"/>
        <v>204,</v>
      </c>
      <c r="AE15" t="str">
        <f t="shared" si="8"/>
        <v>11001100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0x63,</v>
      </c>
      <c r="C16" t="str">
        <f t="shared" si="1"/>
        <v>99,</v>
      </c>
      <c r="D16" t="str">
        <f t="shared" si="2"/>
        <v>01100011</v>
      </c>
      <c r="E16">
        <v>0</v>
      </c>
      <c r="F16">
        <v>1</v>
      </c>
      <c r="G16">
        <v>1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0xCC,</v>
      </c>
      <c r="AD16" t="str">
        <f t="shared" si="7"/>
        <v>204,</v>
      </c>
      <c r="AE16" t="str">
        <f t="shared" si="8"/>
        <v>11001100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0xE3,</v>
      </c>
      <c r="C17" t="str">
        <f t="shared" si="1"/>
        <v>227,</v>
      </c>
      <c r="D17" t="str">
        <f t="shared" si="2"/>
        <v>11100011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0xC0,</v>
      </c>
      <c r="AD17" t="str">
        <f t="shared" si="7"/>
        <v>192,</v>
      </c>
      <c r="AE17" t="str">
        <f t="shared" si="8"/>
        <v>11000000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0xC3,</v>
      </c>
      <c r="C18" t="str">
        <f t="shared" si="1"/>
        <v>195,</v>
      </c>
      <c r="D18" t="str">
        <f t="shared" si="2"/>
        <v>11000011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0xC6,</v>
      </c>
      <c r="BE18" t="str">
        <f t="shared" si="13"/>
        <v>198,</v>
      </c>
      <c r="BF18" t="str">
        <f t="shared" si="14"/>
        <v>11000110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0xC3,</v>
      </c>
      <c r="C19" t="str">
        <f t="shared" si="1"/>
        <v>195,</v>
      </c>
      <c r="D19" t="str">
        <f t="shared" si="2"/>
        <v>11000011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0xC0,</v>
      </c>
      <c r="AD19" t="str">
        <f t="shared" si="7"/>
        <v>192,</v>
      </c>
      <c r="AE19" t="str">
        <f t="shared" si="8"/>
        <v>11000000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0xC6,</v>
      </c>
      <c r="BE19" t="str">
        <f t="shared" si="13"/>
        <v>198,</v>
      </c>
      <c r="BF19" t="str">
        <f t="shared" si="14"/>
        <v>11000110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0xC3,</v>
      </c>
      <c r="C20" t="str">
        <f t="shared" si="1"/>
        <v>195,</v>
      </c>
      <c r="D20" t="str">
        <f t="shared" si="2"/>
        <v>11000011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8,3,0,7,0,7,0,15,0,15,0,27,0,27,0,59,0,51,0,51,0,99,0,99,0,227,0,195,0,195,0,195,0,     //  Л     //  155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10,192,192,192,192,192,192,225,192,225,192,243,192,243,192,255,192,222,192,222,192,204,192,204,192,192,192,192,192,192,192,192,192,     //  М     //  156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7,198,0,198,0,198,0,198,0,198,0,198,0,198,0,254,0,254,0,254,0,198,0,198,0,198,0,198,0,198,0,198,0,     //  Н     //  157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0x03, 0x00, 0x07, 0x00, 0x07, 0x00, 0x0F, 0x00, 0x0F, 0x00, 0x1B, 0x00, 0x1B, 0x00, 0x3B, 0x00, 0x33, 0x00, 0x33, 0x00, 0x63, 0x00, 0x63, 0x00, 0xE3, 0x00, 0xC3, 0x00, 0xC3, 0x00, 0xC3, 0x00,     //  Л     //  155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0xC0, 0xC0, 0xC0, 0xC0, 0xC0, 0xC0, 0xE1, 0xC0, 0xE1, 0xC0, 0xF3, 0xC0, 0xF3, 0xC0, 0xFF, 0xC0, 0xDE, 0xC0, 0xDE, 0xC0, 0xCC, 0xC0, 0xCC, 0xC0, 0xC0, 0xC0, 0xC0, 0xC0, 0xC0, 0xC0, 0xC0, 0xC0,     //  М     //  156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0xC6, 0x00, 0xC6, 0x00, 0xC6, 0x00, 0xC6, 0x00, 0xC6, 0x00, 0xC6, 0x00, 0xC6, 0x00, 0xFE, 0x00, 0xFE, 0x00, 0xFE, 0x00, 0xC6, 0x00, 0xC6, 0x00, 0xC6, 0x00, 0xC6, 0x00, 0xC6, 0x00, 0xC6, 0x00,     //  Н     //  157</v>
      </c>
    </row>
    <row r="28" spans="1:79">
      <c r="A28" s="1" t="str">
        <f>$B$24</f>
        <v>8,3,0,7,0,7,0,15,0,15,0,27,0,27,0,59,0,51,0,51,0,99,0,99,0,227,0,195,0,195,0,195,0,     //  Л     //  155</v>
      </c>
      <c r="E28" t="s">
        <v>4</v>
      </c>
      <c r="AB28" s="1" t="str">
        <f>$AC$24</f>
        <v>10,192,192,192,192,192,192,225,192,225,192,243,192,243,192,255,192,222,192,222,192,204,192,204,192,192,192,192,192,192,192,192,192,     //  М     //  156</v>
      </c>
      <c r="AF28" t="s">
        <v>4</v>
      </c>
      <c r="BC28" s="1" t="str">
        <f>$BD$24</f>
        <v>7,198,0,198,0,198,0,198,0,198,0,198,0,198,0,254,0,254,0,254,0,198,0,198,0,198,0,198,0,198,0,198,0,     //  Н     //  157</v>
      </c>
      <c r="BG28" t="s">
        <v>4</v>
      </c>
    </row>
    <row r="29" spans="1:79">
      <c r="A29" s="2" t="str">
        <f>$B$25</f>
        <v xml:space="preserve"> 0x08, 0x03, 0x00, 0x07, 0x00, 0x07, 0x00, 0x0F, 0x00, 0x0F, 0x00, 0x1B, 0x00, 0x1B, 0x00, 0x3B, 0x00, 0x33, 0x00, 0x33, 0x00, 0x63, 0x00, 0x63, 0x00, 0xE3, 0x00, 0xC3, 0x00, 0xC3, 0x00, 0xC3, 0x00,     //  Л     //  155</v>
      </c>
      <c r="E29" t="s">
        <v>3</v>
      </c>
      <c r="AB29" s="2" t="str">
        <f>$AC$25</f>
        <v xml:space="preserve"> 0x0A, 0xC0, 0xC0, 0xC0, 0xC0, 0xC0, 0xC0, 0xE1, 0xC0, 0xE1, 0xC0, 0xF3, 0xC0, 0xF3, 0xC0, 0xFF, 0xC0, 0xDE, 0xC0, 0xDE, 0xC0, 0xCC, 0xC0, 0xCC, 0xC0, 0xC0, 0xC0, 0xC0, 0xC0, 0xC0, 0xC0, 0xC0, 0xC0,     //  М     //  156</v>
      </c>
      <c r="AF29" t="s">
        <v>3</v>
      </c>
      <c r="BC29" s="2" t="str">
        <f>$BD$25</f>
        <v xml:space="preserve"> 0x07, 0xC6, 0x00, 0xC6, 0x00, 0xC6, 0x00, 0xC6, 0x00, 0xC6, 0x00, 0xC6, 0x00, 0xC6, 0x00, 0xFE, 0x00, 0xFE, 0x00, 0xFE, 0x00, 0xC6, 0x00, 0xC6, 0x00, 0xC6, 0x00, 0xC6, 0x00, 0xC6, 0x00, 0xC6, 0x00,     //  Н     //  157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G8:G17 H8:L12 E5:N5 L13:L17 H13:H16 I13:K15 M8:N17 M20:N20 K16:K17 K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1" priority="11" operator="greaterThan">
      <formula>1</formula>
    </cfRule>
  </conditionalFormatting>
  <conditionalFormatting sqref="AF5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0" priority="6" operator="greaterThan">
      <formula>1</formula>
    </cfRule>
  </conditionalFormatting>
  <conditionalFormatting sqref="BI6:BP7 BI18:BP19 BJ8:BN12 BG5:BP5 BJ13:BM15 BI8:BI17 BI20 BG6:BH20 BL16:BM17 BN13:BN17 BO8:BP17 BL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9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3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158</v>
      </c>
      <c r="Z4" t="s">
        <v>5</v>
      </c>
      <c r="AB4" s="3">
        <v>159</v>
      </c>
      <c r="BA4" t="s">
        <v>5</v>
      </c>
      <c r="BC4" s="3">
        <v>160</v>
      </c>
      <c r="CB4" t="s">
        <v>5</v>
      </c>
    </row>
    <row r="5" spans="1:80">
      <c r="A5" s="3" t="s">
        <v>68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69</v>
      </c>
      <c r="AC5" t="str">
        <f>BA5&amp;AZ5&amp;BIN2HEX(AE5,2)&amp;AY5</f>
        <v xml:space="preserve"> 0xFE,</v>
      </c>
      <c r="AD5" t="str">
        <f>BA5&amp;BIN2DEC(AE5)&amp;AY5</f>
        <v>254,</v>
      </c>
      <c r="AE5" t="str">
        <f>AF5&amp;AG5&amp;AH5&amp;AI5&amp;AJ5&amp;AK5&amp;AL5&amp;AM5</f>
        <v>11111110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70</v>
      </c>
      <c r="BD5" t="str">
        <f>CB5&amp;CA5&amp;BIN2HEX(BF5,2)&amp;BZ5</f>
        <v xml:space="preserve"> 0xF8,</v>
      </c>
      <c r="BE5" t="str">
        <f>CB5&amp;BIN2DEC(BF5)&amp;BZ5</f>
        <v>248,</v>
      </c>
      <c r="BF5" t="str">
        <f>BG5&amp;BH5&amp;BI5&amp;BJ5&amp;BK5&amp;BL5&amp;BM5&amp;BN5</f>
        <v>11111000</v>
      </c>
      <c r="BG5">
        <v>1</v>
      </c>
      <c r="BH5">
        <v>1</v>
      </c>
      <c r="BI5">
        <v>1</v>
      </c>
      <c r="BJ5">
        <v>1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0xFE,</v>
      </c>
      <c r="AD6" t="str">
        <f t="shared" ref="AD6:AD20" si="7">BA6&amp;BIN2DEC(AE6)&amp;AY6</f>
        <v>254,</v>
      </c>
      <c r="AE6" t="str">
        <f t="shared" ref="AE6:AE20" si="8">AF6&amp;AG6&amp;AH6&amp;AI6&amp;AJ6&amp;AK6&amp;AL6&amp;AM6</f>
        <v>11111110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0xFC,</v>
      </c>
      <c r="BE6" t="str">
        <f t="shared" ref="BE6:BE20" si="13">CB6&amp;BIN2DEC(BF6)&amp;BZ6</f>
        <v>252,</v>
      </c>
      <c r="BF6" t="str">
        <f t="shared" ref="BF6:BF20" si="14">BG6&amp;BH6&amp;BI6&amp;BJ6&amp;BK6&amp;BL6&amp;BM6&amp;BN6</f>
        <v>11111100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0xFE,</v>
      </c>
      <c r="AD7" t="str">
        <f t="shared" si="7"/>
        <v>254,</v>
      </c>
      <c r="AE7" t="str">
        <f t="shared" si="8"/>
        <v>11111110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0xCE,</v>
      </c>
      <c r="BE7" t="str">
        <f t="shared" si="13"/>
        <v>206,</v>
      </c>
      <c r="BF7" t="str">
        <f t="shared" si="14"/>
        <v>11001110</v>
      </c>
      <c r="BG7">
        <v>1</v>
      </c>
      <c r="BH7">
        <v>1</v>
      </c>
      <c r="BI7">
        <v>0</v>
      </c>
      <c r="BJ7">
        <v>0</v>
      </c>
      <c r="BK7">
        <v>1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0xC6,</v>
      </c>
      <c r="AD8" t="str">
        <f t="shared" si="7"/>
        <v>198,</v>
      </c>
      <c r="AE8" t="str">
        <f t="shared" si="8"/>
        <v>11000110</v>
      </c>
      <c r="AF8">
        <v>1</v>
      </c>
      <c r="AG8">
        <v>1</v>
      </c>
      <c r="AH8">
        <v>0</v>
      </c>
      <c r="AI8">
        <v>0</v>
      </c>
      <c r="AJ8">
        <v>0</v>
      </c>
      <c r="AK8">
        <v>1</v>
      </c>
      <c r="AL8">
        <v>1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0xCE,</v>
      </c>
      <c r="BE14" t="str">
        <f t="shared" si="13"/>
        <v>206,</v>
      </c>
      <c r="BF14" t="str">
        <f t="shared" si="14"/>
        <v>11001110</v>
      </c>
      <c r="BG14">
        <v>1</v>
      </c>
      <c r="BH14">
        <v>1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0xC6,</v>
      </c>
      <c r="AD15" t="str">
        <f t="shared" si="7"/>
        <v>198,</v>
      </c>
      <c r="AE15" t="str">
        <f t="shared" si="8"/>
        <v>11000110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0xFC,</v>
      </c>
      <c r="BE15" t="str">
        <f t="shared" si="13"/>
        <v>252,</v>
      </c>
      <c r="BF15" t="str">
        <f t="shared" si="14"/>
        <v>11111100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0xC6,</v>
      </c>
      <c r="AD16" t="str">
        <f t="shared" si="7"/>
        <v>198,</v>
      </c>
      <c r="AE16" t="str">
        <f t="shared" si="8"/>
        <v>11000110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0xF8,</v>
      </c>
      <c r="BE16" t="str">
        <f t="shared" si="13"/>
        <v>248,</v>
      </c>
      <c r="BF16" t="str">
        <f t="shared" si="14"/>
        <v>11111000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0xC0,</v>
      </c>
      <c r="BE17" t="str">
        <f t="shared" si="13"/>
        <v>192,</v>
      </c>
      <c r="BF17" t="str">
        <f t="shared" si="14"/>
        <v>11000000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0xC0,</v>
      </c>
      <c r="BE18" t="str">
        <f t="shared" si="13"/>
        <v>192,</v>
      </c>
      <c r="BF18" t="str">
        <f t="shared" si="14"/>
        <v>11000000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0xC0,</v>
      </c>
      <c r="BE19" t="str">
        <f t="shared" si="13"/>
        <v>192,</v>
      </c>
      <c r="BF19" t="str">
        <f t="shared" si="14"/>
        <v>11000000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0xC0,</v>
      </c>
      <c r="BE20" t="str">
        <f t="shared" si="13"/>
        <v>192,</v>
      </c>
      <c r="BF20" t="str">
        <f t="shared" si="14"/>
        <v>11000000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7,56,0,124,0,238,0,198,0,198,0,198,0,198,0,198,0,198,0,198,0,198,0,198,0,198,0,238,0,124,0,56,0,     //  О     //  158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7,254,0,254,0,254,0,198,0,198,0,198,0,198,0,198,0,198,0,198,0,198,0,198,0,198,0,198,0,198,0,198,0,     //  П     //  159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7,248,0,252,0,206,0,198,0,198,0,198,0,198,0,198,0,198,0,206,0,252,0,248,0,192,0,192,0,192,0,192,0,     //  Р     //  160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0x38, 0x00, 0x7C, 0x00, 0xEE, 0x00, 0xC6, 0x00, 0xC6, 0x00, 0xC6, 0x00, 0xC6, 0x00, 0xC6, 0x00, 0xC6, 0x00, 0xC6, 0x00, 0xC6, 0x00, 0xC6, 0x00, 0xC6, 0x00, 0xEE, 0x00, 0x7C, 0x00, 0x38, 0x00,     //  О     //  158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0xFE, 0x00, 0xFE, 0x00, 0xFE, 0x00, 0xC6, 0x00, 0xC6, 0x00, 0xC6, 0x00, 0xC6, 0x00, 0xC6, 0x00, 0xC6, 0x00, 0xC6, 0x00, 0xC6, 0x00, 0xC6, 0x00, 0xC6, 0x00, 0xC6, 0x00, 0xC6, 0x00, 0xC6, 0x00,     //  П     //  159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0xF8, 0x00, 0xFC, 0x00, 0xCE, 0x00, 0xC6, 0x00, 0xC6, 0x00, 0xC6, 0x00, 0xC6, 0x00, 0xC6, 0x00, 0xC6, 0x00, 0xCE, 0x00, 0xFC, 0x00, 0xF8, 0x00, 0xC0, 0x00, 0xC0, 0x00, 0xC0, 0x00, 0xC0, 0x00,     //  Р     //  160</v>
      </c>
    </row>
    <row r="28" spans="1:79">
      <c r="A28" s="1" t="str">
        <f>$B$24</f>
        <v>7,56,0,124,0,238,0,198,0,198,0,198,0,198,0,198,0,198,0,198,0,198,0,198,0,198,0,238,0,124,0,56,0,     //  О     //  158</v>
      </c>
      <c r="E28" t="s">
        <v>4</v>
      </c>
      <c r="AB28" s="1" t="str">
        <f>$AC$24</f>
        <v>7,254,0,254,0,254,0,198,0,198,0,198,0,198,0,198,0,198,0,198,0,198,0,198,0,198,0,198,0,198,0,198,0,     //  П     //  159</v>
      </c>
      <c r="AF28" t="s">
        <v>4</v>
      </c>
      <c r="BC28" s="1" t="str">
        <f>$BD$24</f>
        <v>7,248,0,252,0,206,0,198,0,198,0,198,0,198,0,198,0,198,0,206,0,252,0,248,0,192,0,192,0,192,0,192,0,     //  Р     //  160</v>
      </c>
      <c r="BG28" t="s">
        <v>4</v>
      </c>
    </row>
    <row r="29" spans="1:79">
      <c r="A29" s="2" t="str">
        <f>$B$25</f>
        <v xml:space="preserve"> 0x07, 0x38, 0x00, 0x7C, 0x00, 0xEE, 0x00, 0xC6, 0x00, 0xC6, 0x00, 0xC6, 0x00, 0xC6, 0x00, 0xC6, 0x00, 0xC6, 0x00, 0xC6, 0x00, 0xC6, 0x00, 0xC6, 0x00, 0xC6, 0x00, 0xEE, 0x00, 0x7C, 0x00, 0x38, 0x00,     //  О     //  158</v>
      </c>
      <c r="E29" t="s">
        <v>3</v>
      </c>
      <c r="AB29" s="2" t="str">
        <f>$AC$25</f>
        <v xml:space="preserve"> 0x07, 0xFE, 0x00, 0xFE, 0x00, 0xFE, 0x00, 0xC6, 0x00, 0xC6, 0x00, 0xC6, 0x00, 0xC6, 0x00, 0xC6, 0x00, 0xC6, 0x00, 0xC6, 0x00, 0xC6, 0x00, 0xC6, 0x00, 0xC6, 0x00, 0xC6, 0x00, 0xC6, 0x00, 0xC6, 0x00,     //  П     //  159</v>
      </c>
      <c r="AF29" t="s">
        <v>3</v>
      </c>
      <c r="BC29" s="2" t="str">
        <f>$BD$25</f>
        <v xml:space="preserve"> 0x07, 0xF8, 0x00, 0xFC, 0x00, 0xCE, 0x00, 0xC6, 0x00, 0xC6, 0x00, 0xC6, 0x00, 0xC6, 0x00, 0xC6, 0x00, 0xC6, 0x00, 0xCE, 0x00, 0xFC, 0x00, 0xF8, 0x00, 0xC0, 0x00, 0xC0, 0x00, 0xC0, 0x00, 0xC0, 0x00,     //  Р     //  160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E5:N5 H8:K13 G8:G17 K14:K16 J14:J17 L8:N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7 M13:M18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8" priority="11" operator="greaterThan">
      <formula>1</formula>
    </cfRule>
  </conditionalFormatting>
  <conditionalFormatting sqref="AH18:AO19 AF5:AO5 AI13:AL15 AF6:AG20 AH6:AO7 AH8:AH17 AH20 AI8:AO12 AM13:AO17 AK16:AL17 AK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7" priority="6" operator="greaterThan">
      <formula>1</formula>
    </cfRule>
  </conditionalFormatting>
  <conditionalFormatting sqref="BG6:BH20 BI6:BP7 BI18:BP19 BG5:BP5 BP8:BP12 BI8:BI17 BI20 BO8:BO17 BJ8:BN14 BN15:BN17 BN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8 BO13:BO19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6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161</v>
      </c>
      <c r="Z4" t="s">
        <v>5</v>
      </c>
      <c r="AB4" s="3">
        <v>162</v>
      </c>
      <c r="BA4" t="s">
        <v>5</v>
      </c>
      <c r="BC4" s="3">
        <v>163</v>
      </c>
      <c r="CB4" t="s">
        <v>5</v>
      </c>
    </row>
    <row r="5" spans="1:80">
      <c r="A5" s="3" t="s">
        <v>36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37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38</v>
      </c>
      <c r="BD5" t="str">
        <f>CB5&amp;CA5&amp;BIN2HEX(BF5,2)&amp;BZ5</f>
        <v xml:space="preserve"> 0xC6,</v>
      </c>
      <c r="BE5" t="str">
        <f>CB5&amp;BIN2DEC(BF5)&amp;BZ5</f>
        <v>198,</v>
      </c>
      <c r="BF5" t="str">
        <f>BG5&amp;BH5&amp;BI5&amp;BJ5&amp;BK5&amp;BL5&amp;BM5&amp;BN5</f>
        <v>11000110</v>
      </c>
      <c r="BG5">
        <v>1</v>
      </c>
      <c r="BH5">
        <v>1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0xC6,</v>
      </c>
      <c r="BE6" t="str">
        <f t="shared" ref="BE6:BE20" si="13">CB6&amp;BIN2DEC(BF6)&amp;BZ6</f>
        <v>198,</v>
      </c>
      <c r="BF6" t="str">
        <f t="shared" ref="BF6:BF20" si="14">BG6&amp;BH6&amp;BI6&amp;BJ6&amp;BK6&amp;BL6&amp;BM6&amp;BN6</f>
        <v>11000110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0x99,</v>
      </c>
      <c r="AD7" t="str">
        <f t="shared" si="7"/>
        <v>153,</v>
      </c>
      <c r="AE7" t="str">
        <f t="shared" si="8"/>
        <v>10011001</v>
      </c>
      <c r="AF7">
        <v>1</v>
      </c>
      <c r="AG7">
        <v>0</v>
      </c>
      <c r="AH7">
        <v>0</v>
      </c>
      <c r="AI7">
        <v>1</v>
      </c>
      <c r="AJ7">
        <v>1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0xC6,</v>
      </c>
      <c r="BE7" t="str">
        <f t="shared" si="13"/>
        <v>198,</v>
      </c>
      <c r="BF7" t="str">
        <f t="shared" si="14"/>
        <v>11000110</v>
      </c>
      <c r="BG7">
        <v>1</v>
      </c>
      <c r="BH7">
        <v>1</v>
      </c>
      <c r="BI7">
        <v>0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0x18,</v>
      </c>
      <c r="AD8" t="str">
        <f t="shared" si="7"/>
        <v>24,</v>
      </c>
      <c r="AE8" t="str">
        <f t="shared" si="8"/>
        <v>00011000</v>
      </c>
      <c r="AF8">
        <v>0</v>
      </c>
      <c r="AG8">
        <v>0</v>
      </c>
      <c r="AH8">
        <v>0</v>
      </c>
      <c r="AI8">
        <v>1</v>
      </c>
      <c r="AJ8">
        <v>1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0x18,</v>
      </c>
      <c r="AD9" t="str">
        <f t="shared" si="7"/>
        <v>24,</v>
      </c>
      <c r="AE9" t="str">
        <f t="shared" si="8"/>
        <v>00011000</v>
      </c>
      <c r="AF9">
        <v>0</v>
      </c>
      <c r="AG9">
        <v>0</v>
      </c>
      <c r="AH9">
        <v>0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0x18,</v>
      </c>
      <c r="AD10" t="str">
        <f t="shared" si="7"/>
        <v>24,</v>
      </c>
      <c r="AE10" t="str">
        <f t="shared" si="8"/>
        <v>00011000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0x18,</v>
      </c>
      <c r="AD11" t="str">
        <f t="shared" si="7"/>
        <v>24,</v>
      </c>
      <c r="AE11" t="str">
        <f t="shared" si="8"/>
        <v>00011000</v>
      </c>
      <c r="AF11">
        <v>0</v>
      </c>
      <c r="AG11">
        <v>0</v>
      </c>
      <c r="AH11">
        <v>0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0xE6,</v>
      </c>
      <c r="BE11" t="str">
        <f t="shared" si="13"/>
        <v>230,</v>
      </c>
      <c r="BF11" t="str">
        <f t="shared" si="14"/>
        <v>11100110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0xC0,</v>
      </c>
      <c r="C12" t="str">
        <f t="shared" si="1"/>
        <v>192,</v>
      </c>
      <c r="D12" t="str">
        <f t="shared" si="2"/>
        <v>11000000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0x18,</v>
      </c>
      <c r="AD12" t="str">
        <f t="shared" si="7"/>
        <v>24,</v>
      </c>
      <c r="AE12" t="str">
        <f t="shared" si="8"/>
        <v>00011000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0x76,</v>
      </c>
      <c r="BE12" t="str">
        <f t="shared" si="13"/>
        <v>118,</v>
      </c>
      <c r="BF12" t="str">
        <f t="shared" si="14"/>
        <v>01110110</v>
      </c>
      <c r="BG12">
        <v>0</v>
      </c>
      <c r="BH12">
        <v>1</v>
      </c>
      <c r="BI12">
        <v>1</v>
      </c>
      <c r="BJ12">
        <v>1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0xC0,</v>
      </c>
      <c r="C13" t="str">
        <f t="shared" si="1"/>
        <v>192,</v>
      </c>
      <c r="D13" t="str">
        <f t="shared" si="2"/>
        <v>11000000</v>
      </c>
      <c r="E13">
        <v>1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0x18,</v>
      </c>
      <c r="AD13" t="str">
        <f t="shared" si="7"/>
        <v>24,</v>
      </c>
      <c r="AE13" t="str">
        <f t="shared" si="8"/>
        <v>00011000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0x3E,</v>
      </c>
      <c r="BE13" t="str">
        <f t="shared" si="13"/>
        <v>62,</v>
      </c>
      <c r="BF13" t="str">
        <f t="shared" si="14"/>
        <v>00111110</v>
      </c>
      <c r="BG13">
        <v>0</v>
      </c>
      <c r="BH13">
        <v>0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0xC0,</v>
      </c>
      <c r="C14" t="str">
        <f t="shared" si="1"/>
        <v>192,</v>
      </c>
      <c r="D14" t="str">
        <f t="shared" si="2"/>
        <v>11000000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0x18,</v>
      </c>
      <c r="AD14" t="str">
        <f t="shared" si="7"/>
        <v>24,</v>
      </c>
      <c r="AE14" t="str">
        <f t="shared" si="8"/>
        <v>00011000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0x1E,</v>
      </c>
      <c r="BE14" t="str">
        <f t="shared" si="13"/>
        <v>30,</v>
      </c>
      <c r="BF14" t="str">
        <f t="shared" si="14"/>
        <v>00011110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0x18,</v>
      </c>
      <c r="AD15" t="str">
        <f t="shared" si="7"/>
        <v>24,</v>
      </c>
      <c r="AE15" t="str">
        <f t="shared" si="8"/>
        <v>00011000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0x06,</v>
      </c>
      <c r="BE15" t="str">
        <f t="shared" si="13"/>
        <v>6,</v>
      </c>
      <c r="BF15" t="str">
        <f t="shared" si="14"/>
        <v>00000110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0x18,</v>
      </c>
      <c r="AD16" t="str">
        <f t="shared" si="7"/>
        <v>24,</v>
      </c>
      <c r="AE16" t="str">
        <f t="shared" si="8"/>
        <v>00011000</v>
      </c>
      <c r="AF16">
        <v>0</v>
      </c>
      <c r="AG16">
        <v>0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0x06,</v>
      </c>
      <c r="BE16" t="str">
        <f t="shared" si="13"/>
        <v>6,</v>
      </c>
      <c r="BF16" t="str">
        <f t="shared" si="14"/>
        <v>00000110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0x18,</v>
      </c>
      <c r="AD17" t="str">
        <f t="shared" si="7"/>
        <v>24,</v>
      </c>
      <c r="AE17" t="str">
        <f t="shared" si="8"/>
        <v>00011000</v>
      </c>
      <c r="AF17">
        <v>0</v>
      </c>
      <c r="AG17">
        <v>0</v>
      </c>
      <c r="AH17">
        <v>0</v>
      </c>
      <c r="AI17">
        <v>1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0x06,</v>
      </c>
      <c r="BE17" t="str">
        <f t="shared" si="13"/>
        <v>6,</v>
      </c>
      <c r="BF17" t="str">
        <f t="shared" si="14"/>
        <v>00000110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0x18,</v>
      </c>
      <c r="AD18" t="str">
        <f t="shared" si="7"/>
        <v>24,</v>
      </c>
      <c r="AE18" t="str">
        <f t="shared" si="8"/>
        <v>00011000</v>
      </c>
      <c r="AF18">
        <v>0</v>
      </c>
      <c r="AG18">
        <v>0</v>
      </c>
      <c r="AH18">
        <v>0</v>
      </c>
      <c r="AI18">
        <v>1</v>
      </c>
      <c r="AJ18">
        <v>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0xCC,</v>
      </c>
      <c r="BE18" t="str">
        <f t="shared" si="13"/>
        <v>204,</v>
      </c>
      <c r="BF18" t="str">
        <f t="shared" si="14"/>
        <v>11001100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0x18,</v>
      </c>
      <c r="AD19" t="str">
        <f t="shared" si="7"/>
        <v>24,</v>
      </c>
      <c r="AE19" t="str">
        <f t="shared" si="8"/>
        <v>00011000</v>
      </c>
      <c r="AF19">
        <v>0</v>
      </c>
      <c r="AG19">
        <v>0</v>
      </c>
      <c r="AH19">
        <v>0</v>
      </c>
      <c r="AI19">
        <v>1</v>
      </c>
      <c r="AJ19">
        <v>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0xF8,</v>
      </c>
      <c r="BE19" t="str">
        <f t="shared" si="13"/>
        <v>248,</v>
      </c>
      <c r="BF19" t="str">
        <f t="shared" si="14"/>
        <v>11111000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f>-E199</f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0x18,</v>
      </c>
      <c r="AD20" t="str">
        <f t="shared" si="7"/>
        <v>24,</v>
      </c>
      <c r="AE20" t="str">
        <f t="shared" si="8"/>
        <v>00011000</v>
      </c>
      <c r="AF20">
        <v>0</v>
      </c>
      <c r="AG20">
        <v>0</v>
      </c>
      <c r="AH20">
        <v>0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0x70,</v>
      </c>
      <c r="BE20" t="str">
        <f t="shared" si="13"/>
        <v>112,</v>
      </c>
      <c r="BF20" t="str">
        <f t="shared" si="14"/>
        <v>01110000</v>
      </c>
      <c r="BG20">
        <v>0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7,56,0,124,0,238,0,198,0,198,0,192,0,192,0,192,0,192,0,192,0,192,0,198,0,198,0,238,0,124,0,56,0,     //  С     //  161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8,255,0,255,0,153,0,24,0,24,0,24,0,24,0,24,0,24,0,24,0,24,0,24,0,24,0,24,0,24,0,24,0,     //  Т     //  162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7,198,0,198,0,198,0,198,0,198,0,198,0,230,0,118,0,62,0,30,0,6,0,6,0,6,0,204,0,248,0,112,0,     //  У     //  163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0x38, 0x00, 0x7C, 0x00, 0xEE, 0x00, 0xC6, 0x00, 0xC6, 0x00, 0xC0, 0x00, 0xC0, 0x00, 0xC0, 0x00, 0xC0, 0x00, 0xC0, 0x00, 0xC0, 0x00, 0xC6, 0x00, 0xC6, 0x00, 0xEE, 0x00, 0x7C, 0x00, 0x38, 0x00,     //  С     //  161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0xFF, 0x00, 0xFF, 0x00, 0x99, 0x00, 0x18, 0x00, 0x18, 0x00, 0x18, 0x00, 0x18, 0x00, 0x18, 0x00, 0x18, 0x00, 0x18, 0x00, 0x18, 0x00, 0x18, 0x00, 0x18, 0x00, 0x18, 0x00, 0x18, 0x00, 0x18, 0x00,     //  Т     //  162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0xC6, 0x00, 0xC6, 0x00, 0xC6, 0x00, 0xC6, 0x00, 0xC6, 0x00, 0xC6, 0x00, 0xE6, 0x00, 0x76, 0x00, 0x3E, 0x00, 0x1E, 0x00, 0x06, 0x00, 0x06, 0x00, 0x06, 0x00, 0xCC, 0x00, 0xF8, 0x00, 0x70, 0x00,     //  У     //  163</v>
      </c>
    </row>
    <row r="28" spans="1:79">
      <c r="A28" s="1" t="str">
        <f>$B$24</f>
        <v>7,56,0,124,0,238,0,198,0,198,0,192,0,192,0,192,0,192,0,192,0,192,0,198,0,198,0,238,0,124,0,56,0,     //  С     //  161</v>
      </c>
      <c r="E28" t="s">
        <v>4</v>
      </c>
      <c r="AB28" s="1" t="str">
        <f>$AC$24</f>
        <v>8,255,0,255,0,153,0,24,0,24,0,24,0,24,0,24,0,24,0,24,0,24,0,24,0,24,0,24,0,24,0,24,0,     //  Т     //  162</v>
      </c>
      <c r="AF28" t="s">
        <v>4</v>
      </c>
      <c r="BC28" s="1" t="str">
        <f>$BD$24</f>
        <v>7,198,0,198,0,198,0,198,0,198,0,198,0,230,0,118,0,62,0,30,0,6,0,6,0,6,0,204,0,248,0,112,0,     //  У     //  163</v>
      </c>
      <c r="BG28" t="s">
        <v>4</v>
      </c>
    </row>
    <row r="29" spans="1:79">
      <c r="A29" s="2" t="str">
        <f>$B$25</f>
        <v xml:space="preserve"> 0x07, 0x38, 0x00, 0x7C, 0x00, 0xEE, 0x00, 0xC6, 0x00, 0xC6, 0x00, 0xC0, 0x00, 0xC0, 0x00, 0xC0, 0x00, 0xC0, 0x00, 0xC0, 0x00, 0xC0, 0x00, 0xC6, 0x00, 0xC6, 0x00, 0xEE, 0x00, 0x7C, 0x00, 0x38, 0x00,     //  С     //  161</v>
      </c>
      <c r="E29" t="s">
        <v>3</v>
      </c>
      <c r="AB29" s="2" t="str">
        <f>$AC$25</f>
        <v xml:space="preserve"> 0x08, 0xFF, 0x00, 0xFF, 0x00, 0x99, 0x00, 0x18, 0x00, 0x18, 0x00, 0x18, 0x00, 0x18, 0x00, 0x18, 0x00, 0x18, 0x00, 0x18, 0x00, 0x18, 0x00, 0x18, 0x00, 0x18, 0x00, 0x18, 0x00, 0x18, 0x00, 0x18, 0x00,     //  Т     //  162</v>
      </c>
      <c r="AF29" t="s">
        <v>3</v>
      </c>
      <c r="BC29" s="2" t="str">
        <f>$BD$25</f>
        <v xml:space="preserve"> 0x07, 0xC6, 0x00, 0xC6, 0x00, 0xC6, 0x00, 0xC6, 0x00, 0xC6, 0x00, 0xC6, 0x00, 0xE6, 0x00, 0x76, 0x00, 0x3E, 0x00, 0x1E, 0x00, 0x06, 0x00, 0x06, 0x00, 0x06, 0x00, 0xCC, 0x00, 0xF8, 0x00, 0x70, 0x00,     //  У     //  163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5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4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3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5"/>
  <dimension ref="A4:CB29"/>
  <sheetViews>
    <sheetView workbookViewId="0">
      <selection activeCell="R27" sqref="R27"/>
    </sheetView>
  </sheetViews>
  <sheetFormatPr defaultRowHeight="15"/>
  <cols>
    <col min="1" max="1" width="6.7109375" customWidth="1"/>
    <col min="2" max="2" width="9.140625" customWidth="1"/>
    <col min="3" max="3" width="7.85546875" customWidth="1"/>
    <col min="4" max="4" width="11.140625" customWidth="1"/>
    <col min="5" max="20" width="3.140625" customWidth="1"/>
    <col min="21" max="21" width="10.7109375" customWidth="1"/>
    <col min="22" max="23" width="9.140625" customWidth="1"/>
    <col min="24" max="24" width="3.5703125" customWidth="1"/>
    <col min="25" max="25" width="4.85546875" customWidth="1"/>
    <col min="26" max="26" width="3.85546875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164</v>
      </c>
      <c r="Z4" t="s">
        <v>5</v>
      </c>
      <c r="AB4" s="3">
        <v>165</v>
      </c>
      <c r="BA4" t="s">
        <v>5</v>
      </c>
      <c r="BC4" s="3">
        <v>166</v>
      </c>
      <c r="CB4" t="s">
        <v>5</v>
      </c>
    </row>
    <row r="5" spans="1:80">
      <c r="A5" s="3" t="s">
        <v>39</v>
      </c>
      <c r="B5" t="str">
        <f>Z5&amp;Y5&amp;BIN2HEX(D5,2)&amp;X5</f>
        <v xml:space="preserve"> 0x0C,</v>
      </c>
      <c r="C5" t="str">
        <f>Z5&amp;BIN2DEC(D5)&amp;X5</f>
        <v>12,</v>
      </c>
      <c r="D5" t="str">
        <f>E5&amp;F5&amp;G5&amp;H5&amp;I5&amp;J5&amp;K5&amp;L5</f>
        <v>00001100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40</v>
      </c>
      <c r="AC5" t="str">
        <f>BA5&amp;AZ5&amp;BIN2HEX(AE5,2)&amp;AY5</f>
        <v xml:space="preserve"> 0xC1,</v>
      </c>
      <c r="AD5" t="str">
        <f>BA5&amp;BIN2DEC(AE5)&amp;AY5</f>
        <v>193,</v>
      </c>
      <c r="AE5" t="str">
        <f>AF5&amp;AG5&amp;AH5&amp;AI5&amp;AJ5&amp;AK5&amp;AL5&amp;AM5</f>
        <v>11000001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1</v>
      </c>
      <c r="AN5">
        <v>1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10000000</v>
      </c>
      <c r="AW5" t="str">
        <f>BA5&amp;BIN2DEC(AV5)&amp;AY5</f>
        <v>128,</v>
      </c>
      <c r="AX5" t="str">
        <f>BA5&amp;AZ5&amp;BIN2HEX(AV5,2)&amp;AY5</f>
        <v xml:space="preserve"> 0x80,</v>
      </c>
      <c r="AY5" t="s">
        <v>0</v>
      </c>
      <c r="AZ5" t="s">
        <v>1</v>
      </c>
      <c r="BC5" s="3" t="s">
        <v>41</v>
      </c>
      <c r="BD5" t="str">
        <f>CB5&amp;CA5&amp;BIN2HEX(BF5,2)&amp;BZ5</f>
        <v xml:space="preserve"> 0xC6,</v>
      </c>
      <c r="BE5" t="str">
        <f>CB5&amp;BIN2DEC(BF5)&amp;BZ5</f>
        <v>198,</v>
      </c>
      <c r="BF5" t="str">
        <f>BG5&amp;BH5&amp;BI5&amp;BJ5&amp;BK5&amp;BL5&amp;BM5&amp;BN5</f>
        <v>11000110</v>
      </c>
      <c r="BG5">
        <v>1</v>
      </c>
      <c r="BH5">
        <v>1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0x3F,</v>
      </c>
      <c r="C6" t="str">
        <f t="shared" ref="C6:C20" si="1">Z6&amp;BIN2DEC(D6)&amp;X6</f>
        <v>63,</v>
      </c>
      <c r="D6" t="str">
        <f t="shared" ref="D6:D20" si="2">E6&amp;F6&amp;G6&amp;H6&amp;I6&amp;J6&amp;K6&amp;L6</f>
        <v>00111111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0xC1,</v>
      </c>
      <c r="AD6" t="str">
        <f t="shared" ref="AD6:AD20" si="7">BA6&amp;BIN2DEC(AE6)&amp;AY6</f>
        <v>193,</v>
      </c>
      <c r="AE6" t="str">
        <f t="shared" ref="AE6:AE20" si="8">AF6&amp;AG6&amp;AH6&amp;AI6&amp;AJ6&amp;AK6&amp;AL6&amp;AM6</f>
        <v>11000001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1</v>
      </c>
      <c r="AN6">
        <v>1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10000000</v>
      </c>
      <c r="AW6" t="str">
        <f t="shared" ref="AW6:AW20" si="10">BA6&amp;BIN2DEC(AV6)&amp;AY6</f>
        <v>128,</v>
      </c>
      <c r="AX6" t="str">
        <f t="shared" ref="AX6:AX20" si="11">BA6&amp;AZ6&amp;BIN2HEX(AV6,2)&amp;AY6</f>
        <v xml:space="preserve"> 0x80,</v>
      </c>
      <c r="AY6" t="s">
        <v>0</v>
      </c>
      <c r="AZ6" t="s">
        <v>1</v>
      </c>
      <c r="BD6" t="str">
        <f t="shared" ref="BD6:BD20" si="12">CB6&amp;CA6&amp;BIN2HEX(BF6,2)&amp;BZ6</f>
        <v xml:space="preserve"> 0xC6,</v>
      </c>
      <c r="BE6" t="str">
        <f t="shared" ref="BE6:BE20" si="13">CB6&amp;BIN2DEC(BF6)&amp;BZ6</f>
        <v>198,</v>
      </c>
      <c r="BF6" t="str">
        <f t="shared" ref="BF6:BF20" si="14">BG6&amp;BH6&amp;BI6&amp;BJ6&amp;BK6&amp;BL6&amp;BM6&amp;BN6</f>
        <v>11000110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0x7F,</v>
      </c>
      <c r="C7" t="str">
        <f t="shared" si="1"/>
        <v>127,</v>
      </c>
      <c r="D7" t="str">
        <f t="shared" si="2"/>
        <v>01111111</v>
      </c>
      <c r="E7">
        <v>0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10000000</v>
      </c>
      <c r="V7" t="str">
        <f t="shared" si="4"/>
        <v>128,</v>
      </c>
      <c r="W7" t="str">
        <f t="shared" si="5"/>
        <v xml:space="preserve"> 0x80,</v>
      </c>
      <c r="X7" t="s">
        <v>0</v>
      </c>
      <c r="Y7" t="s">
        <v>1</v>
      </c>
      <c r="AC7" t="str">
        <f t="shared" si="6"/>
        <v xml:space="preserve"> 0xE3,</v>
      </c>
      <c r="AD7" t="str">
        <f t="shared" si="7"/>
        <v>227,</v>
      </c>
      <c r="AE7" t="str">
        <f t="shared" si="8"/>
        <v>11100011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1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10000000</v>
      </c>
      <c r="AW7" t="str">
        <f t="shared" si="10"/>
        <v>128,</v>
      </c>
      <c r="AX7" t="str">
        <f t="shared" si="11"/>
        <v xml:space="preserve"> 0x80,</v>
      </c>
      <c r="AY7" t="s">
        <v>0</v>
      </c>
      <c r="AZ7" t="s">
        <v>1</v>
      </c>
      <c r="BD7" t="str">
        <f t="shared" si="12"/>
        <v xml:space="preserve"> 0xC6,</v>
      </c>
      <c r="BE7" t="str">
        <f t="shared" si="13"/>
        <v>198,</v>
      </c>
      <c r="BF7" t="str">
        <f t="shared" si="14"/>
        <v>11000110</v>
      </c>
      <c r="BG7">
        <v>1</v>
      </c>
      <c r="BH7">
        <v>1</v>
      </c>
      <c r="BI7">
        <v>0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0xED,</v>
      </c>
      <c r="C8" t="str">
        <f t="shared" si="1"/>
        <v>237,</v>
      </c>
      <c r="D8" t="str">
        <f t="shared" si="2"/>
        <v>11101101</v>
      </c>
      <c r="E8">
        <v>1</v>
      </c>
      <c r="F8">
        <v>1</v>
      </c>
      <c r="G8">
        <v>1</v>
      </c>
      <c r="H8">
        <v>0</v>
      </c>
      <c r="I8">
        <v>1</v>
      </c>
      <c r="J8">
        <v>1</v>
      </c>
      <c r="K8">
        <v>0</v>
      </c>
      <c r="L8">
        <v>1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11000000</v>
      </c>
      <c r="V8" t="str">
        <f t="shared" si="4"/>
        <v>192,</v>
      </c>
      <c r="W8" t="str">
        <f t="shared" si="5"/>
        <v xml:space="preserve"> 0xC0,</v>
      </c>
      <c r="X8" t="s">
        <v>0</v>
      </c>
      <c r="Y8" t="s">
        <v>1</v>
      </c>
      <c r="AC8" t="str">
        <f t="shared" si="6"/>
        <v xml:space="preserve"> 0x63,</v>
      </c>
      <c r="AD8" t="str">
        <f t="shared" si="7"/>
        <v>99,</v>
      </c>
      <c r="AE8" t="str">
        <f t="shared" si="8"/>
        <v>01100011</v>
      </c>
      <c r="AF8">
        <v>0</v>
      </c>
      <c r="AG8">
        <v>1</v>
      </c>
      <c r="AH8">
        <v>1</v>
      </c>
      <c r="AI8">
        <v>0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0xCC,</v>
      </c>
      <c r="C9" t="str">
        <f t="shared" si="1"/>
        <v>204,</v>
      </c>
      <c r="D9" t="str">
        <f t="shared" si="2"/>
        <v>11001100</v>
      </c>
      <c r="E9">
        <v>1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0x77,</v>
      </c>
      <c r="AD9" t="str">
        <f t="shared" si="7"/>
        <v>119,</v>
      </c>
      <c r="AE9" t="str">
        <f t="shared" si="8"/>
        <v>01110111</v>
      </c>
      <c r="AF9">
        <v>0</v>
      </c>
      <c r="AG9">
        <v>1</v>
      </c>
      <c r="AH9">
        <v>1</v>
      </c>
      <c r="AI9">
        <v>1</v>
      </c>
      <c r="AJ9">
        <v>0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0xCC,</v>
      </c>
      <c r="C10" t="str">
        <f t="shared" si="1"/>
        <v>204,</v>
      </c>
      <c r="D10" t="str">
        <f t="shared" si="2"/>
        <v>11001100</v>
      </c>
      <c r="E10">
        <v>1</v>
      </c>
      <c r="F10">
        <v>1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0x36,</v>
      </c>
      <c r="AD10" t="str">
        <f t="shared" si="7"/>
        <v>54,</v>
      </c>
      <c r="AE10" t="str">
        <f t="shared" si="8"/>
        <v>00110110</v>
      </c>
      <c r="AF10">
        <v>0</v>
      </c>
      <c r="AG10">
        <v>0</v>
      </c>
      <c r="AH10">
        <v>1</v>
      </c>
      <c r="AI10">
        <v>1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0xCC,</v>
      </c>
      <c r="C11" t="str">
        <f t="shared" si="1"/>
        <v>204,</v>
      </c>
      <c r="D11" t="str">
        <f t="shared" si="2"/>
        <v>11001100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0x3E,</v>
      </c>
      <c r="AD11" t="str">
        <f t="shared" si="7"/>
        <v>62,</v>
      </c>
      <c r="AE11" t="str">
        <f t="shared" si="8"/>
        <v>00111110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0xCC,</v>
      </c>
      <c r="C12" t="str">
        <f t="shared" si="1"/>
        <v>204,</v>
      </c>
      <c r="D12" t="str">
        <f t="shared" si="2"/>
        <v>11001100</v>
      </c>
      <c r="E12">
        <v>1</v>
      </c>
      <c r="F12">
        <v>1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0x1C,</v>
      </c>
      <c r="AD12" t="str">
        <f t="shared" si="7"/>
        <v>28,</v>
      </c>
      <c r="AE12" t="str">
        <f t="shared" si="8"/>
        <v>00011100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0xCC,</v>
      </c>
      <c r="C13" t="str">
        <f t="shared" si="1"/>
        <v>204,</v>
      </c>
      <c r="D13" t="str">
        <f t="shared" si="2"/>
        <v>11001100</v>
      </c>
      <c r="E13">
        <v>1</v>
      </c>
      <c r="F13">
        <v>1</v>
      </c>
      <c r="G13">
        <v>0</v>
      </c>
      <c r="H13">
        <v>0</v>
      </c>
      <c r="I13">
        <v>1</v>
      </c>
      <c r="J13">
        <v>1</v>
      </c>
      <c r="K13">
        <v>0</v>
      </c>
      <c r="L13">
        <v>0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0x1C,</v>
      </c>
      <c r="AD13" t="str">
        <f t="shared" si="7"/>
        <v>28,</v>
      </c>
      <c r="AE13" t="str">
        <f t="shared" si="8"/>
        <v>00011100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0xCC,</v>
      </c>
      <c r="C14" t="str">
        <f t="shared" si="1"/>
        <v>204,</v>
      </c>
      <c r="D14" t="str">
        <f t="shared" si="2"/>
        <v>11001100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0</v>
      </c>
      <c r="L14">
        <v>0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0x3E,</v>
      </c>
      <c r="AD14" t="str">
        <f t="shared" si="7"/>
        <v>62,</v>
      </c>
      <c r="AE14" t="str">
        <f t="shared" si="8"/>
        <v>00111110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0xCC,</v>
      </c>
      <c r="C15" t="str">
        <f t="shared" si="1"/>
        <v>204,</v>
      </c>
      <c r="D15" t="str">
        <f t="shared" si="2"/>
        <v>11001100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0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0x36,</v>
      </c>
      <c r="AD15" t="str">
        <f t="shared" si="7"/>
        <v>54,</v>
      </c>
      <c r="AE15" t="str">
        <f t="shared" si="8"/>
        <v>00110110</v>
      </c>
      <c r="AF15">
        <v>0</v>
      </c>
      <c r="AG15">
        <v>0</v>
      </c>
      <c r="AH15">
        <v>1</v>
      </c>
      <c r="AI15">
        <v>1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0xED,</v>
      </c>
      <c r="C16" t="str">
        <f t="shared" si="1"/>
        <v>237,</v>
      </c>
      <c r="D16" t="str">
        <f t="shared" si="2"/>
        <v>11101101</v>
      </c>
      <c r="E16">
        <v>1</v>
      </c>
      <c r="F16">
        <v>1</v>
      </c>
      <c r="G16">
        <v>1</v>
      </c>
      <c r="H16">
        <v>0</v>
      </c>
      <c r="I16">
        <v>1</v>
      </c>
      <c r="J16">
        <v>1</v>
      </c>
      <c r="K16">
        <v>0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0x77,</v>
      </c>
      <c r="AD16" t="str">
        <f t="shared" si="7"/>
        <v>119,</v>
      </c>
      <c r="AE16" t="str">
        <f t="shared" si="8"/>
        <v>01110111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0x7F,</v>
      </c>
      <c r="C17" t="str">
        <f t="shared" si="1"/>
        <v>127,</v>
      </c>
      <c r="D17" t="str">
        <f t="shared" si="2"/>
        <v>01111111</v>
      </c>
      <c r="E17">
        <v>0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10000000</v>
      </c>
      <c r="V17" t="str">
        <f t="shared" si="4"/>
        <v>128,</v>
      </c>
      <c r="W17" t="str">
        <f t="shared" si="5"/>
        <v xml:space="preserve"> 0x80,</v>
      </c>
      <c r="X17" t="s">
        <v>0</v>
      </c>
      <c r="Y17" t="s">
        <v>1</v>
      </c>
      <c r="AC17" t="str">
        <f t="shared" si="6"/>
        <v xml:space="preserve"> 0x63,</v>
      </c>
      <c r="AD17" t="str">
        <f t="shared" si="7"/>
        <v>99,</v>
      </c>
      <c r="AE17" t="str">
        <f t="shared" si="8"/>
        <v>01100011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0x3F,</v>
      </c>
      <c r="C18" t="str">
        <f t="shared" si="1"/>
        <v>63,</v>
      </c>
      <c r="D18" t="str">
        <f t="shared" si="2"/>
        <v>00111111</v>
      </c>
      <c r="E18">
        <v>0</v>
      </c>
      <c r="F18">
        <v>0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0xE3,</v>
      </c>
      <c r="AD18" t="str">
        <f t="shared" si="7"/>
        <v>227,</v>
      </c>
      <c r="AE18" t="str">
        <f t="shared" si="8"/>
        <v>11100011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0xFE,</v>
      </c>
      <c r="BE18" t="str">
        <f t="shared" si="13"/>
        <v>254,</v>
      </c>
      <c r="BF18" t="str">
        <f t="shared" si="14"/>
        <v>11111110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0x0C,</v>
      </c>
      <c r="C19" t="str">
        <f t="shared" si="1"/>
        <v>12,</v>
      </c>
      <c r="D19" t="str">
        <f t="shared" si="2"/>
        <v>00001100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0xC1,</v>
      </c>
      <c r="AD19" t="str">
        <f t="shared" si="7"/>
        <v>193,</v>
      </c>
      <c r="AE19" t="str">
        <f t="shared" si="8"/>
        <v>11000001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1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10000000</v>
      </c>
      <c r="AW19" t="str">
        <f t="shared" si="10"/>
        <v>128,</v>
      </c>
      <c r="AX19" t="str">
        <f t="shared" si="11"/>
        <v xml:space="preserve"> 0x80,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0x0C,</v>
      </c>
      <c r="C20" t="str">
        <f t="shared" si="1"/>
        <v>12,</v>
      </c>
      <c r="D20" t="str">
        <f t="shared" si="2"/>
        <v>00001100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0xC1,</v>
      </c>
      <c r="AD20" t="str">
        <f t="shared" si="7"/>
        <v>193,</v>
      </c>
      <c r="AE20" t="str">
        <f t="shared" si="8"/>
        <v>11000001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1</v>
      </c>
      <c r="AN20">
        <v>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10000000</v>
      </c>
      <c r="AW20" t="str">
        <f t="shared" si="10"/>
        <v>128,</v>
      </c>
      <c r="AX20" t="str">
        <f t="shared" si="11"/>
        <v xml:space="preserve"> 0x80,</v>
      </c>
      <c r="AY20" t="s">
        <v>0</v>
      </c>
      <c r="AZ20" t="s">
        <v>1</v>
      </c>
      <c r="BD20" t="str">
        <f t="shared" si="12"/>
        <v xml:space="preserve"> 0x03,</v>
      </c>
      <c r="BE20" t="str">
        <f t="shared" si="13"/>
        <v>3,</v>
      </c>
      <c r="BF20" t="str">
        <f t="shared" si="14"/>
        <v>00000011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10,12,0,63,0,127,128,237,192,204,192,204,192,204,192,204,192,204,192,204,192,204,192,237,192,127,128,63,0,12,0,12,0,     //  Ф     //  164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9,193,128,193,128,227,128,99,0,119,0,54,0,62,0,28,0,28,0,62,0,54,0,119,0,99,0,227,128,193,128,193,128,     //  Х     //  165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8,198,0,198,0,198,0,198,0,198,0,198,0,198,0,198,0,198,0,198,0,198,0,198,0,198,0,254,0,255,0,3,0,     //  Ц     //  166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0x0C, 0x00, 0x3F, 0x00, 0x7F, 0x80, 0xED, 0xC0, 0xCC, 0xC0, 0xCC, 0xC0, 0xCC, 0xC0, 0xCC, 0xC0, 0xCC, 0xC0, 0xCC, 0xC0, 0xCC, 0xC0, 0xED, 0xC0, 0x7F, 0x80, 0x3F, 0x00, 0x0C, 0x00, 0x0C, 0x00,     //  Ф     //  164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0xC1, 0x80, 0xC1, 0x80, 0xE3, 0x80, 0x63, 0x00, 0x77, 0x00, 0x36, 0x00, 0x3E, 0x00, 0x1C, 0x00, 0x1C, 0x00, 0x3E, 0x00, 0x36, 0x00, 0x77, 0x00, 0x63, 0x00, 0xE3, 0x80, 0xC1, 0x80, 0xC1, 0x80,     //  Х     //  165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0xC6, 0x00, 0xC6, 0x00, 0xC6, 0x00, 0xC6, 0x00, 0xC6, 0x00, 0xC6, 0x00, 0xC6, 0x00, 0xC6, 0x00, 0xC6, 0x00, 0xC6, 0x00, 0xC6, 0x00, 0xC6, 0x00, 0xC6, 0x00, 0xFE, 0x00, 0xFF, 0x00, 0x03, 0x00,     //  Ц     //  166</v>
      </c>
    </row>
    <row r="28" spans="1:79">
      <c r="A28" s="1" t="str">
        <f>$B$24</f>
        <v>10,12,0,63,0,127,128,237,192,204,192,204,192,204,192,204,192,204,192,204,192,204,192,237,192,127,128,63,0,12,0,12,0,     //  Ф     //  164</v>
      </c>
      <c r="E28" t="s">
        <v>4</v>
      </c>
      <c r="AB28" s="1" t="str">
        <f>$AC$24</f>
        <v>9,193,128,193,128,227,128,99,0,119,0,54,0,62,0,28,0,28,0,62,0,54,0,119,0,99,0,227,128,193,128,193,128,     //  Х     //  165</v>
      </c>
      <c r="AF28" t="s">
        <v>4</v>
      </c>
      <c r="BC28" s="1" t="str">
        <f>$BD$24</f>
        <v>8,198,0,198,0,198,0,198,0,198,0,198,0,198,0,198,0,198,0,198,0,198,0,198,0,198,0,254,0,255,0,3,0,     //  Ц     //  166</v>
      </c>
      <c r="BG28" t="s">
        <v>4</v>
      </c>
    </row>
    <row r="29" spans="1:79">
      <c r="A29" s="2" t="str">
        <f>$B$25</f>
        <v xml:space="preserve"> 0x0A, 0x0C, 0x00, 0x3F, 0x00, 0x7F, 0x80, 0xED, 0xC0, 0xCC, 0xC0, 0xCC, 0xC0, 0xCC, 0xC0, 0xCC, 0xC0, 0xCC, 0xC0, 0xCC, 0xC0, 0xCC, 0xC0, 0xED, 0xC0, 0x7F, 0x80, 0x3F, 0x00, 0x0C, 0x00, 0x0C, 0x00,     //  Ф     //  164</v>
      </c>
      <c r="E29" t="s">
        <v>3</v>
      </c>
      <c r="AB29" s="2" t="str">
        <f>$AC$25</f>
        <v xml:space="preserve"> 0x09, 0xC1, 0x80, 0xC1, 0x80, 0xE3, 0x80, 0x63, 0x00, 0x77, 0x00, 0x36, 0x00, 0x3E, 0x00, 0x1C, 0x00, 0x1C, 0x00, 0x3E, 0x00, 0x36, 0x00, 0x77, 0x00, 0x63, 0x00, 0xE3, 0x80, 0xC1, 0x80, 0xC1, 0x80,     //  Х     //  165</v>
      </c>
      <c r="AF29" t="s">
        <v>3</v>
      </c>
      <c r="BC29" s="2" t="str">
        <f>$BD$25</f>
        <v xml:space="preserve"> 0x08, 0xC6, 0x00, 0xC6, 0x00, 0xC6, 0x00, 0xC6, 0x00, 0xC6, 0x00, 0xC6, 0x00, 0xC6, 0x00, 0xC6, 0x00, 0xC6, 0x00, 0xC6, 0x00, 0xC6, 0x00, 0xC6, 0x00, 0xC6, 0x00, 0xFE, 0x00, 0xFF, 0x00, 0x03, 0x00,     //  Ц     //  166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E5:N5 E6:F20 G8:L17 G20:L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9 O13:O16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2" priority="11" operator="greaterThan">
      <formula>1</formula>
    </cfRule>
  </conditionalFormatting>
  <conditionalFormatting sqref="AH6:AO7 AH18:AO19 AI8:AM12 AF5:AO5 AI13:AL15 AF6:AG20 AH8:AH17 AH20 AI16 AM13:AM17 AN8:AO17 AM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1" priority="6" operator="greaterThan">
      <formula>1</formula>
    </cfRule>
  </conditionalFormatting>
  <conditionalFormatting sqref="BG6:BH20 BI6:BP7 BJ13:BM13 BJ8:BN12 BG5:BP5 BK14:BM16 BI8:BI13 BI14:BJ17 BN13:BN17 BO8:BP17 BI18:BP20 BL17:BM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0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4"/>
  <dimension ref="A4:CB29"/>
  <sheetViews>
    <sheetView workbookViewId="0">
      <selection activeCell="BC28" sqref="BC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167</v>
      </c>
      <c r="Z4" t="s">
        <v>5</v>
      </c>
      <c r="AB4" s="3">
        <v>168</v>
      </c>
      <c r="BA4" t="s">
        <v>5</v>
      </c>
      <c r="BC4" s="3">
        <v>169</v>
      </c>
      <c r="CB4" t="s">
        <v>5</v>
      </c>
    </row>
    <row r="5" spans="1:80">
      <c r="A5" s="3" t="s">
        <v>42</v>
      </c>
      <c r="B5" t="str">
        <f>Z5&amp;Y5&amp;BIN2HEX(D5,2)&amp;X5</f>
        <v xml:space="preserve"> 0x0F,</v>
      </c>
      <c r="C5" t="str">
        <f>Z5&amp;BIN2DEC(D5)&amp;X5</f>
        <v>15,</v>
      </c>
      <c r="D5" t="str">
        <f>E5&amp;F5&amp;G5&amp;H5&amp;I5&amp;J5&amp;K5&amp;L5</f>
        <v>00001111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11100000</v>
      </c>
      <c r="V5" t="str">
        <f>Z5&amp;BIN2DEC(U5)&amp;X5</f>
        <v>224,</v>
      </c>
      <c r="W5" t="str">
        <f>Z5&amp;Y5&amp;BIN2HEX(U5,2)&amp;X5</f>
        <v xml:space="preserve"> 0xE0,</v>
      </c>
      <c r="X5" t="s">
        <v>0</v>
      </c>
      <c r="Y5" t="s">
        <v>1</v>
      </c>
      <c r="AB5" s="3" t="s">
        <v>43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11110000</v>
      </c>
      <c r="AW5" t="str">
        <f>BA5&amp;BIN2DEC(AV5)&amp;AY5</f>
        <v>240,</v>
      </c>
      <c r="AX5" t="str">
        <f>BA5&amp;AZ5&amp;BIN2HEX(AV5,2)&amp;AY5</f>
        <v xml:space="preserve"> 0xF0,</v>
      </c>
      <c r="AY5" t="s">
        <v>0</v>
      </c>
      <c r="AZ5" t="s">
        <v>1</v>
      </c>
      <c r="BC5" s="3" t="s">
        <v>44</v>
      </c>
      <c r="BD5" t="str">
        <f>CB5&amp;CA5&amp;BIN2HEX(BF5,2)&amp;BZ5</f>
        <v xml:space="preserve"> 0x0F,</v>
      </c>
      <c r="BE5" t="str">
        <f>CB5&amp;BIN2DEC(BF5)&amp;BZ5</f>
        <v>15,</v>
      </c>
      <c r="BF5" t="str">
        <f>BG5&amp;BH5&amp;BI5&amp;BJ5&amp;BK5&amp;BL5&amp;BM5&amp;BN5</f>
        <v>00001111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11000000</v>
      </c>
      <c r="BX5" t="str">
        <f>CB5&amp;BIN2DEC(BW5)&amp;BZ5</f>
        <v>192,</v>
      </c>
      <c r="BY5" t="str">
        <f>CB5&amp;CA5&amp;BIN2HEX(BW5,2)&amp;BZ5</f>
        <v xml:space="preserve"> 0xC0,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0x1F,</v>
      </c>
      <c r="C6" t="str">
        <f t="shared" ref="C6:C20" si="1">Z6&amp;BIN2DEC(D6)&amp;X6</f>
        <v>31,</v>
      </c>
      <c r="D6" t="str">
        <f t="shared" ref="D6:D20" si="2">E6&amp;F6&amp;G6&amp;H6&amp;I6&amp;J6&amp;K6&amp;L6</f>
        <v>00011111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11110000</v>
      </c>
      <c r="V6" t="str">
        <f t="shared" ref="V6:V20" si="4">Z6&amp;BIN2DEC(U6)&amp;X6</f>
        <v>240,</v>
      </c>
      <c r="W6" t="str">
        <f t="shared" ref="W6:W20" si="5">Z6&amp;Y6&amp;BIN2HEX(U6,2)&amp;X6</f>
        <v xml:space="preserve"> 0xF0,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11110000</v>
      </c>
      <c r="AW6" t="str">
        <f t="shared" ref="AW6:AW20" si="10">BA6&amp;BIN2DEC(AV6)&amp;AY6</f>
        <v>240,</v>
      </c>
      <c r="AX6" t="str">
        <f t="shared" ref="AX6:AX20" si="11">BA6&amp;AZ6&amp;BIN2HEX(AV6,2)&amp;AY6</f>
        <v xml:space="preserve"> 0xF0,</v>
      </c>
      <c r="AY6" t="s">
        <v>0</v>
      </c>
      <c r="AZ6" t="s">
        <v>1</v>
      </c>
      <c r="BD6" t="str">
        <f t="shared" ref="BD6:BD20" si="12">CB6&amp;CA6&amp;BIN2HEX(BF6,2)&amp;BZ6</f>
        <v xml:space="preserve"> 0x1F,</v>
      </c>
      <c r="BE6" t="str">
        <f t="shared" ref="BE6:BE20" si="13">CB6&amp;BIN2DEC(BF6)&amp;BZ6</f>
        <v>31,</v>
      </c>
      <c r="BF6" t="str">
        <f t="shared" ref="BF6:BF20" si="14">BG6&amp;BH6&amp;BI6&amp;BJ6&amp;BK6&amp;BL6&amp;BM6&amp;BN6</f>
        <v>00011111</v>
      </c>
      <c r="BG6">
        <v>0</v>
      </c>
      <c r="BH6">
        <v>0</v>
      </c>
      <c r="BI6">
        <v>0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11100000</v>
      </c>
      <c r="BX6" t="str">
        <f t="shared" ref="BX6:BX20" si="16">CB6&amp;BIN2DEC(BW6)&amp;BZ6</f>
        <v>224,</v>
      </c>
      <c r="BY6" t="str">
        <f t="shared" ref="BY6:BY20" si="17">CB6&amp;CA6&amp;BIN2HEX(BW6,2)&amp;BZ6</f>
        <v xml:space="preserve"> 0xE0,</v>
      </c>
      <c r="BZ6" t="s">
        <v>0</v>
      </c>
      <c r="CA6" t="s">
        <v>1</v>
      </c>
    </row>
    <row r="7" spans="1:80">
      <c r="B7" t="str">
        <f t="shared" si="0"/>
        <v xml:space="preserve"> 0x3F,</v>
      </c>
      <c r="C7" t="str">
        <f t="shared" si="1"/>
        <v>63,</v>
      </c>
      <c r="D7" t="str">
        <f t="shared" si="2"/>
        <v>00111111</v>
      </c>
      <c r="E7">
        <v>0</v>
      </c>
      <c r="F7">
        <v>0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0</v>
      </c>
      <c r="S7">
        <v>0</v>
      </c>
      <c r="T7">
        <v>0</v>
      </c>
      <c r="U7" t="str">
        <f t="shared" si="3"/>
        <v>11111000</v>
      </c>
      <c r="V7" t="str">
        <f t="shared" si="4"/>
        <v>248,</v>
      </c>
      <c r="W7" t="str">
        <f t="shared" si="5"/>
        <v xml:space="preserve"> 0xF8,</v>
      </c>
      <c r="X7" t="s">
        <v>0</v>
      </c>
      <c r="Y7" t="s">
        <v>1</v>
      </c>
      <c r="AC7" t="str">
        <f t="shared" si="6"/>
        <v xml:space="preserve"> 0xFF,</v>
      </c>
      <c r="AD7" t="str">
        <f t="shared" si="7"/>
        <v>255,</v>
      </c>
      <c r="AE7" t="str">
        <f t="shared" si="8"/>
        <v>11111111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 t="str">
        <f t="shared" si="9"/>
        <v>11110000</v>
      </c>
      <c r="AW7" t="str">
        <f t="shared" si="10"/>
        <v>240,</v>
      </c>
      <c r="AX7" t="str">
        <f t="shared" si="11"/>
        <v xml:space="preserve"> 0xF0,</v>
      </c>
      <c r="AY7" t="s">
        <v>0</v>
      </c>
      <c r="AZ7" t="s">
        <v>1</v>
      </c>
      <c r="BD7" t="str">
        <f t="shared" si="12"/>
        <v xml:space="preserve"> 0x3F,</v>
      </c>
      <c r="BE7" t="str">
        <f t="shared" si="13"/>
        <v>63,</v>
      </c>
      <c r="BF7" t="str">
        <f t="shared" si="14"/>
        <v>00111111</v>
      </c>
      <c r="BG7">
        <v>0</v>
      </c>
      <c r="BH7">
        <v>0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0</v>
      </c>
      <c r="BT7">
        <v>0</v>
      </c>
      <c r="BU7">
        <v>0</v>
      </c>
      <c r="BV7">
        <v>0</v>
      </c>
      <c r="BW7" t="str">
        <f t="shared" si="15"/>
        <v>11110000</v>
      </c>
      <c r="BX7" t="str">
        <f t="shared" si="16"/>
        <v>240,</v>
      </c>
      <c r="BY7" t="str">
        <f t="shared" si="17"/>
        <v xml:space="preserve"> 0xF0,</v>
      </c>
      <c r="BZ7" t="s">
        <v>0</v>
      </c>
      <c r="CA7" t="s">
        <v>1</v>
      </c>
    </row>
    <row r="8" spans="1:80">
      <c r="B8" t="str">
        <f t="shared" si="0"/>
        <v xml:space="preserve"> 0x7F,</v>
      </c>
      <c r="C8" t="str">
        <f t="shared" si="1"/>
        <v>127,</v>
      </c>
      <c r="D8" t="str">
        <f t="shared" si="2"/>
        <v>01111111</v>
      </c>
      <c r="E8">
        <v>0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0</v>
      </c>
      <c r="T8">
        <v>0</v>
      </c>
      <c r="U8" t="str">
        <f t="shared" si="3"/>
        <v>11111100</v>
      </c>
      <c r="V8" t="str">
        <f t="shared" si="4"/>
        <v>252,</v>
      </c>
      <c r="W8" t="str">
        <f t="shared" si="5"/>
        <v xml:space="preserve"> 0xFC,</v>
      </c>
      <c r="X8" t="s">
        <v>0</v>
      </c>
      <c r="Y8" t="s">
        <v>1</v>
      </c>
      <c r="AC8" t="str">
        <f t="shared" si="6"/>
        <v xml:space="preserve"> 0xFF,</v>
      </c>
      <c r="AD8" t="str">
        <f t="shared" si="7"/>
        <v>255,</v>
      </c>
      <c r="AE8" t="str">
        <f t="shared" si="8"/>
        <v>11111111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0</v>
      </c>
      <c r="AS8">
        <v>0</v>
      </c>
      <c r="AT8">
        <v>0</v>
      </c>
      <c r="AU8">
        <v>0</v>
      </c>
      <c r="AV8" t="str">
        <f t="shared" si="9"/>
        <v>11110000</v>
      </c>
      <c r="AW8" t="str">
        <f t="shared" si="10"/>
        <v>240,</v>
      </c>
      <c r="AX8" t="str">
        <f t="shared" si="11"/>
        <v xml:space="preserve"> 0xF0,</v>
      </c>
      <c r="AY8" t="s">
        <v>0</v>
      </c>
      <c r="AZ8" t="s">
        <v>1</v>
      </c>
      <c r="BD8" t="str">
        <f t="shared" si="12"/>
        <v xml:space="preserve"> 0x7C,</v>
      </c>
      <c r="BE8" t="str">
        <f t="shared" si="13"/>
        <v>124,</v>
      </c>
      <c r="BF8" t="str">
        <f t="shared" si="14"/>
        <v>01111100</v>
      </c>
      <c r="BG8">
        <v>0</v>
      </c>
      <c r="BH8">
        <v>1</v>
      </c>
      <c r="BI8">
        <v>1</v>
      </c>
      <c r="BJ8">
        <v>1</v>
      </c>
      <c r="BK8">
        <v>1</v>
      </c>
      <c r="BL8">
        <v>1</v>
      </c>
      <c r="BM8">
        <v>0</v>
      </c>
      <c r="BN8">
        <v>0</v>
      </c>
      <c r="BO8">
        <v>1</v>
      </c>
      <c r="BP8">
        <v>1</v>
      </c>
      <c r="BQ8">
        <v>1</v>
      </c>
      <c r="BR8">
        <v>1</v>
      </c>
      <c r="BS8">
        <v>1</v>
      </c>
      <c r="BT8">
        <v>0</v>
      </c>
      <c r="BU8">
        <v>0</v>
      </c>
      <c r="BV8">
        <v>0</v>
      </c>
      <c r="BW8" t="str">
        <f t="shared" si="15"/>
        <v>11111000</v>
      </c>
      <c r="BX8" t="str">
        <f t="shared" si="16"/>
        <v>248,</v>
      </c>
      <c r="BY8" t="str">
        <f t="shared" si="17"/>
        <v xml:space="preserve"> 0xF8,</v>
      </c>
      <c r="BZ8" t="s">
        <v>0</v>
      </c>
      <c r="CA8" t="s">
        <v>1</v>
      </c>
    </row>
    <row r="9" spans="1:80">
      <c r="B9" t="str">
        <f t="shared" si="0"/>
        <v xml:space="preserve"> 0xF8,</v>
      </c>
      <c r="C9" t="str">
        <f t="shared" si="1"/>
        <v>248,</v>
      </c>
      <c r="D9" t="str">
        <f t="shared" si="2"/>
        <v>11111000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1</v>
      </c>
      <c r="O9">
        <v>1</v>
      </c>
      <c r="P9">
        <v>1</v>
      </c>
      <c r="Q9">
        <v>1</v>
      </c>
      <c r="R9">
        <v>1</v>
      </c>
      <c r="S9">
        <v>0</v>
      </c>
      <c r="T9">
        <v>0</v>
      </c>
      <c r="U9" t="str">
        <f t="shared" si="3"/>
        <v>01111100</v>
      </c>
      <c r="V9" t="str">
        <f t="shared" si="4"/>
        <v>124,</v>
      </c>
      <c r="W9" t="str">
        <f t="shared" si="5"/>
        <v xml:space="preserve"> 0x7C,</v>
      </c>
      <c r="X9" t="s">
        <v>0</v>
      </c>
      <c r="Y9" t="s">
        <v>1</v>
      </c>
      <c r="AC9" t="str">
        <f t="shared" si="6"/>
        <v xml:space="preserve"> 0x8F,</v>
      </c>
      <c r="AD9" t="str">
        <f t="shared" si="7"/>
        <v>143,</v>
      </c>
      <c r="AE9" t="str">
        <f t="shared" si="8"/>
        <v>10001111</v>
      </c>
      <c r="AF9">
        <v>1</v>
      </c>
      <c r="AG9">
        <v>0</v>
      </c>
      <c r="AH9">
        <v>0</v>
      </c>
      <c r="AI9">
        <v>0</v>
      </c>
      <c r="AJ9">
        <v>1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1</v>
      </c>
      <c r="AR9">
        <v>0</v>
      </c>
      <c r="AS9">
        <v>0</v>
      </c>
      <c r="AT9">
        <v>0</v>
      </c>
      <c r="AU9">
        <v>0</v>
      </c>
      <c r="AV9" t="str">
        <f t="shared" si="9"/>
        <v>00010000</v>
      </c>
      <c r="AW9" t="str">
        <f t="shared" si="10"/>
        <v>16,</v>
      </c>
      <c r="AX9" t="str">
        <f t="shared" si="11"/>
        <v xml:space="preserve"> 0x10,</v>
      </c>
      <c r="AY9" t="s">
        <v>0</v>
      </c>
      <c r="AZ9" t="s">
        <v>1</v>
      </c>
      <c r="BD9" t="str">
        <f t="shared" si="12"/>
        <v xml:space="preserve"> 0xF8,</v>
      </c>
      <c r="BE9" t="str">
        <f t="shared" si="13"/>
        <v>248,</v>
      </c>
      <c r="BF9" t="str">
        <f t="shared" si="14"/>
        <v>11111000</v>
      </c>
      <c r="BG9">
        <v>1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1</v>
      </c>
      <c r="BQ9">
        <v>1</v>
      </c>
      <c r="BR9">
        <v>1</v>
      </c>
      <c r="BS9">
        <v>1</v>
      </c>
      <c r="BT9">
        <v>1</v>
      </c>
      <c r="BU9">
        <v>0</v>
      </c>
      <c r="BV9">
        <v>0</v>
      </c>
      <c r="BW9" t="str">
        <f t="shared" si="15"/>
        <v>01111100</v>
      </c>
      <c r="BX9" t="str">
        <f t="shared" si="16"/>
        <v>124,</v>
      </c>
      <c r="BY9" t="str">
        <f t="shared" si="17"/>
        <v xml:space="preserve"> 0x7C,</v>
      </c>
      <c r="BZ9" t="s">
        <v>0</v>
      </c>
      <c r="CA9" t="s">
        <v>1</v>
      </c>
    </row>
    <row r="10" spans="1:80">
      <c r="B10" t="str">
        <f t="shared" si="0"/>
        <v xml:space="preserve"> 0xF0,</v>
      </c>
      <c r="C10" t="str">
        <f t="shared" si="1"/>
        <v>240,</v>
      </c>
      <c r="D10" t="str">
        <f t="shared" si="2"/>
        <v>11110000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>
        <v>1</v>
      </c>
      <c r="Q10">
        <v>1</v>
      </c>
      <c r="R10">
        <v>1</v>
      </c>
      <c r="S10">
        <v>0</v>
      </c>
      <c r="T10">
        <v>0</v>
      </c>
      <c r="U10" t="str">
        <f t="shared" si="3"/>
        <v>00111100</v>
      </c>
      <c r="V10" t="str">
        <f t="shared" si="4"/>
        <v>60,</v>
      </c>
      <c r="W10" t="str">
        <f t="shared" si="5"/>
        <v xml:space="preserve"> 0x3C,</v>
      </c>
      <c r="X10" t="s">
        <v>0</v>
      </c>
      <c r="Y10" t="s">
        <v>1</v>
      </c>
      <c r="AC10" t="str">
        <f t="shared" si="6"/>
        <v xml:space="preserve"> 0x0F,</v>
      </c>
      <c r="AD10" t="str">
        <f t="shared" si="7"/>
        <v>15,</v>
      </c>
      <c r="AE10" t="str">
        <f t="shared" si="8"/>
        <v>00001111</v>
      </c>
      <c r="AF10">
        <v>0</v>
      </c>
      <c r="AG10">
        <v>0</v>
      </c>
      <c r="AH10">
        <v>0</v>
      </c>
      <c r="AI10">
        <v>0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0xF0,</v>
      </c>
      <c r="BE10" t="str">
        <f t="shared" si="13"/>
        <v>240,</v>
      </c>
      <c r="BF10" t="str">
        <f t="shared" si="14"/>
        <v>11110000</v>
      </c>
      <c r="BG10">
        <v>1</v>
      </c>
      <c r="BH10">
        <v>1</v>
      </c>
      <c r="BI10">
        <v>1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1</v>
      </c>
      <c r="BR10">
        <v>1</v>
      </c>
      <c r="BS10">
        <v>1</v>
      </c>
      <c r="BT10">
        <v>1</v>
      </c>
      <c r="BU10">
        <v>0</v>
      </c>
      <c r="BV10">
        <v>0</v>
      </c>
      <c r="BW10" t="str">
        <f t="shared" si="15"/>
        <v>00111100</v>
      </c>
      <c r="BX10" t="str">
        <f t="shared" si="16"/>
        <v>60,</v>
      </c>
      <c r="BY10" t="str">
        <f t="shared" si="17"/>
        <v xml:space="preserve"> 0x3C,</v>
      </c>
      <c r="BZ10" t="s">
        <v>0</v>
      </c>
      <c r="CA10" t="s">
        <v>1</v>
      </c>
    </row>
    <row r="11" spans="1:80">
      <c r="B11" t="str">
        <f t="shared" si="0"/>
        <v xml:space="preserve"> 0xF0,</v>
      </c>
      <c r="C11" t="str">
        <f t="shared" si="1"/>
        <v>240,</v>
      </c>
      <c r="D11" t="str">
        <f t="shared" si="2"/>
        <v>11110000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0x0F,</v>
      </c>
      <c r="AD11" t="str">
        <f t="shared" si="7"/>
        <v>15,</v>
      </c>
      <c r="AE11" t="str">
        <f t="shared" si="8"/>
        <v>00001111</v>
      </c>
      <c r="AF11">
        <v>0</v>
      </c>
      <c r="AG11">
        <v>0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0xF0,</v>
      </c>
      <c r="BE11" t="str">
        <f t="shared" si="13"/>
        <v>240,</v>
      </c>
      <c r="BF11" t="str">
        <f t="shared" si="14"/>
        <v>11110000</v>
      </c>
      <c r="BG11">
        <v>1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1</v>
      </c>
      <c r="BR11">
        <v>1</v>
      </c>
      <c r="BS11">
        <v>1</v>
      </c>
      <c r="BT11">
        <v>1</v>
      </c>
      <c r="BU11">
        <v>0</v>
      </c>
      <c r="BV11">
        <v>0</v>
      </c>
      <c r="BW11" t="str">
        <f t="shared" si="15"/>
        <v>00111100</v>
      </c>
      <c r="BX11" t="str">
        <f t="shared" si="16"/>
        <v>60,</v>
      </c>
      <c r="BY11" t="str">
        <f t="shared" si="17"/>
        <v xml:space="preserve"> 0x3C,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0x0F,</v>
      </c>
      <c r="AD12" t="str">
        <f t="shared" si="7"/>
        <v>15,</v>
      </c>
      <c r="AE12" t="str">
        <f t="shared" si="8"/>
        <v>00001111</v>
      </c>
      <c r="AF12">
        <v>0</v>
      </c>
      <c r="AG12">
        <v>0</v>
      </c>
      <c r="AH12">
        <v>0</v>
      </c>
      <c r="AI12">
        <v>0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0xF0,</v>
      </c>
      <c r="BE12" t="str">
        <f t="shared" si="13"/>
        <v>240,</v>
      </c>
      <c r="BF12" t="str">
        <f t="shared" si="14"/>
        <v>11110000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1</v>
      </c>
      <c r="BR12">
        <v>1</v>
      </c>
      <c r="BS12">
        <v>1</v>
      </c>
      <c r="BT12">
        <v>1</v>
      </c>
      <c r="BU12">
        <v>0</v>
      </c>
      <c r="BV12">
        <v>0</v>
      </c>
      <c r="BW12" t="str">
        <f t="shared" si="15"/>
        <v>00111100</v>
      </c>
      <c r="BX12" t="str">
        <f t="shared" si="16"/>
        <v>60,</v>
      </c>
      <c r="BY12" t="str">
        <f t="shared" si="17"/>
        <v xml:space="preserve"> 0x3C,</v>
      </c>
      <c r="BZ12" t="s">
        <v>0</v>
      </c>
      <c r="CA12" t="s">
        <v>1</v>
      </c>
    </row>
    <row r="13" spans="1:80">
      <c r="B13" t="str">
        <f t="shared" si="0"/>
        <v xml:space="preserve"> 0xF0,</v>
      </c>
      <c r="C13" t="str">
        <f t="shared" si="1"/>
        <v>240,</v>
      </c>
      <c r="D13" t="str">
        <f t="shared" si="2"/>
        <v>11110000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0x0F,</v>
      </c>
      <c r="AD13" t="str">
        <f t="shared" si="7"/>
        <v>15,</v>
      </c>
      <c r="AE13" t="str">
        <f t="shared" si="8"/>
        <v>00001111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0xF0,</v>
      </c>
      <c r="BE13" t="str">
        <f t="shared" si="13"/>
        <v>240,</v>
      </c>
      <c r="BF13" t="str">
        <f t="shared" si="14"/>
        <v>11110000</v>
      </c>
      <c r="BG13">
        <v>1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1</v>
      </c>
      <c r="BU13">
        <v>0</v>
      </c>
      <c r="BV13">
        <v>0</v>
      </c>
      <c r="BW13" t="str">
        <f t="shared" si="15"/>
        <v>00111100</v>
      </c>
      <c r="BX13" t="str">
        <f t="shared" si="16"/>
        <v>60,</v>
      </c>
      <c r="BY13" t="str">
        <f t="shared" si="17"/>
        <v xml:space="preserve"> 0x3C,</v>
      </c>
      <c r="BZ13" t="s">
        <v>0</v>
      </c>
      <c r="CA13" t="s">
        <v>1</v>
      </c>
    </row>
    <row r="14" spans="1:80">
      <c r="B14" t="str">
        <f t="shared" si="0"/>
        <v xml:space="preserve"> 0xF0,</v>
      </c>
      <c r="C14" t="str">
        <f t="shared" si="1"/>
        <v>240,</v>
      </c>
      <c r="D14" t="str">
        <f t="shared" si="2"/>
        <v>11110000</v>
      </c>
      <c r="E14">
        <v>1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0x0F,</v>
      </c>
      <c r="AD14" t="str">
        <f t="shared" si="7"/>
        <v>15,</v>
      </c>
      <c r="AE14" t="str">
        <f t="shared" si="8"/>
        <v>00001111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0xF0,</v>
      </c>
      <c r="BE14" t="str">
        <f t="shared" si="13"/>
        <v>240,</v>
      </c>
      <c r="BF14" t="str">
        <f t="shared" si="14"/>
        <v>11110000</v>
      </c>
      <c r="BG14">
        <v>1</v>
      </c>
      <c r="BH14">
        <v>1</v>
      </c>
      <c r="BI14">
        <v>1</v>
      </c>
      <c r="BJ14">
        <v>1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1</v>
      </c>
      <c r="BR14">
        <v>1</v>
      </c>
      <c r="BS14">
        <v>1</v>
      </c>
      <c r="BT14">
        <v>1</v>
      </c>
      <c r="BU14">
        <v>0</v>
      </c>
      <c r="BV14">
        <v>0</v>
      </c>
      <c r="BW14" t="str">
        <f t="shared" si="15"/>
        <v>00111100</v>
      </c>
      <c r="BX14" t="str">
        <f t="shared" si="16"/>
        <v>60,</v>
      </c>
      <c r="BY14" t="str">
        <f t="shared" si="17"/>
        <v xml:space="preserve"> 0x3C,</v>
      </c>
      <c r="BZ14" t="s">
        <v>0</v>
      </c>
      <c r="CA14" t="s">
        <v>1</v>
      </c>
    </row>
    <row r="15" spans="1:80">
      <c r="B15" t="str">
        <f t="shared" si="0"/>
        <v xml:space="preserve"> 0xF0,</v>
      </c>
      <c r="C15" t="str">
        <f t="shared" si="1"/>
        <v>240,</v>
      </c>
      <c r="D15" t="str">
        <f t="shared" si="2"/>
        <v>11110000</v>
      </c>
      <c r="E15">
        <v>1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1</v>
      </c>
      <c r="Q15">
        <v>1</v>
      </c>
      <c r="R15">
        <v>1</v>
      </c>
      <c r="S15">
        <v>0</v>
      </c>
      <c r="T15">
        <v>0</v>
      </c>
      <c r="U15" t="str">
        <f t="shared" si="3"/>
        <v>00111100</v>
      </c>
      <c r="V15" t="str">
        <f t="shared" si="4"/>
        <v>60,</v>
      </c>
      <c r="W15" t="str">
        <f t="shared" si="5"/>
        <v xml:space="preserve"> 0x3C,</v>
      </c>
      <c r="X15" t="s">
        <v>0</v>
      </c>
      <c r="Y15" t="s">
        <v>1</v>
      </c>
      <c r="AC15" t="str">
        <f t="shared" si="6"/>
        <v xml:space="preserve"> 0x0F,</v>
      </c>
      <c r="AD15" t="str">
        <f t="shared" si="7"/>
        <v>15,</v>
      </c>
      <c r="AE15" t="str">
        <f t="shared" si="8"/>
        <v>00001111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0xF0,</v>
      </c>
      <c r="BE15" t="str">
        <f t="shared" si="13"/>
        <v>240,</v>
      </c>
      <c r="BF15" t="str">
        <f t="shared" si="14"/>
        <v>11110000</v>
      </c>
      <c r="BG15">
        <v>1</v>
      </c>
      <c r="BH15">
        <v>1</v>
      </c>
      <c r="BI15">
        <v>1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1</v>
      </c>
      <c r="BR15">
        <v>1</v>
      </c>
      <c r="BS15">
        <v>1</v>
      </c>
      <c r="BT15">
        <v>1</v>
      </c>
      <c r="BU15">
        <v>0</v>
      </c>
      <c r="BV15">
        <v>0</v>
      </c>
      <c r="BW15" t="str">
        <f t="shared" si="15"/>
        <v>00111100</v>
      </c>
      <c r="BX15" t="str">
        <f t="shared" si="16"/>
        <v>60,</v>
      </c>
      <c r="BY15" t="str">
        <f t="shared" si="17"/>
        <v xml:space="preserve"> 0x3C,</v>
      </c>
      <c r="BZ15" t="s">
        <v>0</v>
      </c>
      <c r="CA15" t="s">
        <v>1</v>
      </c>
    </row>
    <row r="16" spans="1:80">
      <c r="B16" t="str">
        <f t="shared" si="0"/>
        <v xml:space="preserve"> 0xF8,</v>
      </c>
      <c r="C16" t="str">
        <f t="shared" si="1"/>
        <v>248,</v>
      </c>
      <c r="D16" t="str">
        <f t="shared" si="2"/>
        <v>11111000</v>
      </c>
      <c r="E16">
        <v>1</v>
      </c>
      <c r="F16">
        <v>1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1</v>
      </c>
      <c r="R16">
        <v>1</v>
      </c>
      <c r="S16">
        <v>0</v>
      </c>
      <c r="T16">
        <v>0</v>
      </c>
      <c r="U16" t="str">
        <f t="shared" si="3"/>
        <v>01111100</v>
      </c>
      <c r="V16" t="str">
        <f t="shared" si="4"/>
        <v>124,</v>
      </c>
      <c r="W16" t="str">
        <f t="shared" si="5"/>
        <v xml:space="preserve"> 0x7C,</v>
      </c>
      <c r="X16" t="s">
        <v>0</v>
      </c>
      <c r="Y16" t="s">
        <v>1</v>
      </c>
      <c r="AC16" t="str">
        <f t="shared" si="6"/>
        <v xml:space="preserve"> 0x0F,</v>
      </c>
      <c r="AD16" t="str">
        <f t="shared" si="7"/>
        <v>15,</v>
      </c>
      <c r="AE16" t="str">
        <f t="shared" si="8"/>
        <v>00001111</v>
      </c>
      <c r="AF16">
        <v>0</v>
      </c>
      <c r="AG16">
        <v>0</v>
      </c>
      <c r="AH16">
        <v>0</v>
      </c>
      <c r="AI16">
        <v>0</v>
      </c>
      <c r="AJ16">
        <v>1</v>
      </c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0xF8,</v>
      </c>
      <c r="BE16" t="str">
        <f t="shared" si="13"/>
        <v>248,</v>
      </c>
      <c r="BF16" t="str">
        <f t="shared" si="14"/>
        <v>11111000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0</v>
      </c>
      <c r="BV16">
        <v>0</v>
      </c>
      <c r="BW16" t="str">
        <f t="shared" si="15"/>
        <v>01111100</v>
      </c>
      <c r="BX16" t="str">
        <f t="shared" si="16"/>
        <v>124,</v>
      </c>
      <c r="BY16" t="str">
        <f t="shared" si="17"/>
        <v xml:space="preserve"> 0x7C,</v>
      </c>
      <c r="BZ16" t="s">
        <v>0</v>
      </c>
      <c r="CA16" t="s">
        <v>1</v>
      </c>
    </row>
    <row r="17" spans="1:79">
      <c r="B17" t="str">
        <f t="shared" si="0"/>
        <v xml:space="preserve"> 0x7F,</v>
      </c>
      <c r="C17" t="str">
        <f t="shared" si="1"/>
        <v>127,</v>
      </c>
      <c r="D17" t="str">
        <f t="shared" si="2"/>
        <v>01111111</v>
      </c>
      <c r="E17">
        <v>0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 t="str">
        <f t="shared" si="3"/>
        <v>11111100</v>
      </c>
      <c r="V17" t="str">
        <f t="shared" si="4"/>
        <v>252,</v>
      </c>
      <c r="W17" t="str">
        <f t="shared" si="5"/>
        <v xml:space="preserve"> 0xFC,</v>
      </c>
      <c r="X17" t="s">
        <v>0</v>
      </c>
      <c r="Y17" t="s">
        <v>1</v>
      </c>
      <c r="AC17" t="str">
        <f t="shared" si="6"/>
        <v xml:space="preserve"> 0x0F,</v>
      </c>
      <c r="AD17" t="str">
        <f t="shared" si="7"/>
        <v>15,</v>
      </c>
      <c r="AE17" t="str">
        <f t="shared" si="8"/>
        <v>00001111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1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0x7C,</v>
      </c>
      <c r="BE17" t="str">
        <f t="shared" si="13"/>
        <v>124,</v>
      </c>
      <c r="BF17" t="str">
        <f t="shared" si="14"/>
        <v>01111100</v>
      </c>
      <c r="BG17">
        <v>0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0</v>
      </c>
      <c r="BN17">
        <v>0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0</v>
      </c>
      <c r="BU17">
        <v>0</v>
      </c>
      <c r="BV17">
        <v>0</v>
      </c>
      <c r="BW17" t="str">
        <f t="shared" si="15"/>
        <v>11111000</v>
      </c>
      <c r="BX17" t="str">
        <f t="shared" si="16"/>
        <v>248,</v>
      </c>
      <c r="BY17" t="str">
        <f t="shared" si="17"/>
        <v xml:space="preserve"> 0xF8,</v>
      </c>
      <c r="BZ17" t="s">
        <v>0</v>
      </c>
      <c r="CA17" t="s">
        <v>1</v>
      </c>
    </row>
    <row r="18" spans="1:79">
      <c r="B18" t="str">
        <f t="shared" si="0"/>
        <v xml:space="preserve"> 0x3F,</v>
      </c>
      <c r="C18" t="str">
        <f t="shared" si="1"/>
        <v>63,</v>
      </c>
      <c r="D18" t="str">
        <f t="shared" si="2"/>
        <v>00111111</v>
      </c>
      <c r="E18">
        <v>0</v>
      </c>
      <c r="F18">
        <v>0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0</v>
      </c>
      <c r="S18">
        <v>0</v>
      </c>
      <c r="T18">
        <v>0</v>
      </c>
      <c r="U18" t="str">
        <f t="shared" si="3"/>
        <v>11111000</v>
      </c>
      <c r="V18" t="str">
        <f t="shared" si="4"/>
        <v>248,</v>
      </c>
      <c r="W18" t="str">
        <f t="shared" si="5"/>
        <v xml:space="preserve"> 0xF8,</v>
      </c>
      <c r="X18" t="s">
        <v>0</v>
      </c>
      <c r="Y18" t="s">
        <v>1</v>
      </c>
      <c r="AC18" t="str">
        <f t="shared" si="6"/>
        <v xml:space="preserve"> 0x0F,</v>
      </c>
      <c r="AD18" t="str">
        <f t="shared" si="7"/>
        <v>15,</v>
      </c>
      <c r="AE18" t="str">
        <f t="shared" si="8"/>
        <v>00001111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0x3F,</v>
      </c>
      <c r="BE18" t="str">
        <f t="shared" si="13"/>
        <v>63,</v>
      </c>
      <c r="BF18" t="str">
        <f t="shared" si="14"/>
        <v>00111111</v>
      </c>
      <c r="BG18">
        <v>0</v>
      </c>
      <c r="BH18">
        <v>0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0</v>
      </c>
      <c r="BT18">
        <v>0</v>
      </c>
      <c r="BU18">
        <v>0</v>
      </c>
      <c r="BV18">
        <v>0</v>
      </c>
      <c r="BW18" t="str">
        <f t="shared" si="15"/>
        <v>11110000</v>
      </c>
      <c r="BX18" t="str">
        <f t="shared" si="16"/>
        <v>240,</v>
      </c>
      <c r="BY18" t="str">
        <f t="shared" si="17"/>
        <v xml:space="preserve"> 0xF0,</v>
      </c>
      <c r="BZ18" t="s">
        <v>0</v>
      </c>
      <c r="CA18" t="s">
        <v>1</v>
      </c>
    </row>
    <row r="19" spans="1:79">
      <c r="B19" t="str">
        <f t="shared" si="0"/>
        <v xml:space="preserve"> 0x1F,</v>
      </c>
      <c r="C19" t="str">
        <f t="shared" si="1"/>
        <v>31,</v>
      </c>
      <c r="D19" t="str">
        <f t="shared" si="2"/>
        <v>00011111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11110000</v>
      </c>
      <c r="V19" t="str">
        <f t="shared" si="4"/>
        <v>240,</v>
      </c>
      <c r="W19" t="str">
        <f t="shared" si="5"/>
        <v xml:space="preserve"> 0xF0,</v>
      </c>
      <c r="X19" t="s">
        <v>0</v>
      </c>
      <c r="Y19" t="s">
        <v>1</v>
      </c>
      <c r="AC19" t="str">
        <f t="shared" si="6"/>
        <v xml:space="preserve"> 0x0F,</v>
      </c>
      <c r="AD19" t="str">
        <f t="shared" si="7"/>
        <v>15,</v>
      </c>
      <c r="AE19" t="str">
        <f t="shared" si="8"/>
        <v>00001111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0x1F,</v>
      </c>
      <c r="BE19" t="str">
        <f t="shared" si="13"/>
        <v>31,</v>
      </c>
      <c r="BF19" t="str">
        <f t="shared" si="14"/>
        <v>00011111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11100000</v>
      </c>
      <c r="BX19" t="str">
        <f t="shared" si="16"/>
        <v>224,</v>
      </c>
      <c r="BY19" t="str">
        <f t="shared" si="17"/>
        <v xml:space="preserve"> 0xE0,</v>
      </c>
      <c r="BZ19" t="s">
        <v>0</v>
      </c>
      <c r="CA19" t="s">
        <v>1</v>
      </c>
    </row>
    <row r="20" spans="1:79">
      <c r="B20" t="str">
        <f t="shared" si="0"/>
        <v xml:space="preserve"> 0x0F,</v>
      </c>
      <c r="C20" t="str">
        <f t="shared" si="1"/>
        <v>15,</v>
      </c>
      <c r="D20" t="str">
        <f t="shared" si="2"/>
        <v>00001111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11100000</v>
      </c>
      <c r="V20" t="str">
        <f t="shared" si="4"/>
        <v>224,</v>
      </c>
      <c r="W20" t="str">
        <f t="shared" si="5"/>
        <v xml:space="preserve"> 0xE0,</v>
      </c>
      <c r="X20" t="s">
        <v>0</v>
      </c>
      <c r="Y20" t="s">
        <v>1</v>
      </c>
      <c r="AC20" t="str">
        <f t="shared" si="6"/>
        <v xml:space="preserve"> 0x0F,</v>
      </c>
      <c r="AD20" t="str">
        <f t="shared" si="7"/>
        <v>15,</v>
      </c>
      <c r="AE20" t="str">
        <f t="shared" si="8"/>
        <v>00001111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0x0F,</v>
      </c>
      <c r="BE20" t="str">
        <f t="shared" si="13"/>
        <v>15,</v>
      </c>
      <c r="BF20" t="str">
        <f t="shared" si="14"/>
        <v>00001111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11000000</v>
      </c>
      <c r="BX20" t="str">
        <f t="shared" si="16"/>
        <v>192,</v>
      </c>
      <c r="BY20" t="str">
        <f t="shared" si="17"/>
        <v xml:space="preserve"> 0xC0,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1</v>
      </c>
      <c r="R22">
        <f t="shared" si="18"/>
        <v>1</v>
      </c>
      <c r="S22">
        <f t="shared" si="18"/>
        <v>0</v>
      </c>
      <c r="T22">
        <f>MAX(T5:T20)</f>
        <v>0</v>
      </c>
      <c r="U22" t="str">
        <f>SUM(E22:T22)&amp;X20</f>
        <v>14,</v>
      </c>
      <c r="V22" t="str">
        <f>Y20&amp;DEC2HEX(U22,2)&amp;X20</f>
        <v xml:space="preserve"> 0x0E,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12,</v>
      </c>
      <c r="AW22" t="str">
        <f>AZ20&amp;DEC2HEX(AV22,2)&amp;AY20</f>
        <v xml:space="preserve"> 0x0C,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1</v>
      </c>
      <c r="BT22">
        <f t="shared" si="20"/>
        <v>1</v>
      </c>
      <c r="BU22">
        <f t="shared" si="20"/>
        <v>0</v>
      </c>
      <c r="BV22">
        <f>MAX(BV5:BV20)</f>
        <v>0</v>
      </c>
      <c r="BW22" t="str">
        <f>SUM(BG22:BV22)&amp;BZ20</f>
        <v>14,</v>
      </c>
      <c r="BX22" t="str">
        <f>CA20&amp;DEC2HEX(BW22,2)&amp;BZ20</f>
        <v xml:space="preserve"> 0x0E,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14,15,224,31,240,63,248,127,252,248,124,240,60,240,0,240,0,240,0,240,0,240,60,248,124,127,252,63,248,31,240,15,224,     //  Ч     //  167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12,255,240,255,240,255,240,255,240,143,16,15,0,15,0,15,0,15,0,15,0,15,0,15,0,15,0,15,0,15,0,15,0,     //  Ш     //  168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14,15,192,31,224,63,240,124,248,248,124,240,60,240,60,240,60,240,60,240,60,240,60,248,124,124,248,63,240,31,224,15,192,     //  Щ     //  169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0x0E, 0x0F, 0xE0, 0x1F, 0xF0, 0x3F, 0xF8, 0x7F, 0xFC, 0xF8, 0x7C, 0xF0, 0x3C, 0xF0, 0x00, 0xF0, 0x00, 0xF0, 0x00, 0xF0, 0x00, 0xF0, 0x3C, 0xF8, 0x7C, 0x7F, 0xFC, 0x3F, 0xF8, 0x1F, 0xF0, 0x0F, 0xE0,     //  Ч     //  167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0x0C, 0xFF, 0xF0, 0xFF, 0xF0, 0xFF, 0xF0, 0xFF, 0xF0, 0x8F, 0x10, 0x0F, 0x00, 0x0F, 0x00, 0x0F, 0x00, 0x0F, 0x00, 0x0F, 0x00, 0x0F, 0x00, 0x0F, 0x00, 0x0F, 0x00, 0x0F, 0x00, 0x0F, 0x00, 0x0F, 0x00,     //  Ш     //  168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0x0E, 0x0F, 0xC0, 0x1F, 0xE0, 0x3F, 0xF0, 0x7C, 0xF8, 0xF8, 0x7C, 0xF0, 0x3C, 0xF0, 0x3C, 0xF0, 0x3C, 0xF0, 0x3C, 0xF0, 0x3C, 0xF0, 0x3C, 0xF8, 0x7C, 0x7C, 0xF8, 0x3F, 0xF0, 0x1F, 0xE0, 0x0F, 0xC0,     //  Щ     //  169</v>
      </c>
    </row>
    <row r="28" spans="1:79">
      <c r="A28" s="1" t="str">
        <f>$B$24</f>
        <v>14,15,224,31,240,63,248,127,252,248,124,240,60,240,0,240,0,240,0,240,0,240,60,248,124,127,252,63,248,31,240,15,224,     //  Ч     //  167</v>
      </c>
      <c r="E28" t="s">
        <v>4</v>
      </c>
      <c r="AB28" s="1" t="str">
        <f>$AC$24</f>
        <v>12,255,240,255,240,255,240,255,240,143,16,15,0,15,0,15,0,15,0,15,0,15,0,15,0,15,0,15,0,15,0,15,0,     //  Ш     //  168</v>
      </c>
      <c r="AF28" t="s">
        <v>4</v>
      </c>
      <c r="BC28" s="1" t="str">
        <f>$BD$24</f>
        <v>14,15,192,31,224,63,240,124,248,248,124,240,60,240,60,240,60,240,60,240,60,240,60,248,124,124,248,63,240,31,224,15,192,     //  Щ     //  169</v>
      </c>
      <c r="BG28" t="s">
        <v>4</v>
      </c>
    </row>
    <row r="29" spans="1:79">
      <c r="A29" s="2" t="str">
        <f>$B$25</f>
        <v xml:space="preserve"> 0x0E, 0x0F, 0xE0, 0x1F, 0xF0, 0x3F, 0xF8, 0x7F, 0xFC, 0xF8, 0x7C, 0xF0, 0x3C, 0xF0, 0x00, 0xF0, 0x00, 0xF0, 0x00, 0xF0, 0x00, 0xF0, 0x3C, 0xF8, 0x7C, 0x7F, 0xFC, 0x3F, 0xF8, 0x1F, 0xF0, 0x0F, 0xE0,     //  Ч     //  167</v>
      </c>
      <c r="E29" t="s">
        <v>3</v>
      </c>
      <c r="AB29" s="2" t="str">
        <f>$AC$25</f>
        <v xml:space="preserve"> 0x0C, 0xFF, 0xF0, 0xFF, 0xF0, 0xFF, 0xF0, 0xFF, 0xF0, 0x8F, 0x10, 0x0F, 0x00, 0x0F, 0x00, 0x0F, 0x00, 0x0F, 0x00, 0x0F, 0x00, 0x0F, 0x00, 0x0F, 0x00, 0x0F, 0x00, 0x0F, 0x00, 0x0F, 0x00, 0x0F, 0x00,     //  Ш     //  168</v>
      </c>
      <c r="AF29" t="s">
        <v>3</v>
      </c>
      <c r="BC29" s="2" t="str">
        <f>$BD$25</f>
        <v xml:space="preserve"> 0x0E, 0x0F, 0xC0, 0x1F, 0xE0, 0x3F, 0xF0, 0x7C, 0xF8, 0xF8, 0x7C, 0xF0, 0x3C, 0xF0, 0x3C, 0xF0, 0x3C, 0xF0, 0x3C, 0xF0, 0x3C, 0xF0, 0x3C, 0xF8, 0x7C, 0x7C, 0xF8, 0x3F, 0xF0, 0x1F, 0xE0, 0x0F, 0xC0,     //  Щ     //  169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H13:K15 G8:G17 G20 E6:F20 J16:K17 L13:L17 M8:N17 J20:N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9" priority="11" operator="greaterThan">
      <formula>1</formula>
    </cfRule>
  </conditionalFormatting>
  <conditionalFormatting sqref="AF6:AG20 AF5:AO5 AH6:AO19 AN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8" priority="6" operator="greaterThan">
      <formula>1</formula>
    </cfRule>
  </conditionalFormatting>
  <conditionalFormatting sqref="BG6:BH20 BI6:BP7 BI18:BP19 BJ8:BN12 BG5:BP5 BJ13:BM15 BI8:BI17 BK16:BM17 BN13:BN17 BO8:BP17 BK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Q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7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6"/>
  <dimension ref="A4:CB29"/>
  <sheetViews>
    <sheetView workbookViewId="0">
      <selection activeCell="BC28" sqref="BC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4" max="54" width="9.14062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170</v>
      </c>
      <c r="Z4" t="s">
        <v>5</v>
      </c>
      <c r="AB4" s="3">
        <v>171</v>
      </c>
      <c r="BA4" t="s">
        <v>5</v>
      </c>
      <c r="BC4" s="3">
        <v>172</v>
      </c>
      <c r="CB4" t="s">
        <v>5</v>
      </c>
    </row>
    <row r="5" spans="1:80">
      <c r="A5" s="3" t="s">
        <v>45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11110000</v>
      </c>
      <c r="V5" t="str">
        <f>Z5&amp;BIN2DEC(U5)&amp;X5</f>
        <v>240,</v>
      </c>
      <c r="W5" t="str">
        <f>Z5&amp;Y5&amp;BIN2HEX(U5,2)&amp;X5</f>
        <v xml:space="preserve"> 0xF0,</v>
      </c>
      <c r="X5" t="s">
        <v>0</v>
      </c>
      <c r="Y5" t="s">
        <v>1</v>
      </c>
      <c r="AB5" s="3" t="s">
        <v>46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</v>
      </c>
      <c r="AQ5">
        <v>1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00110000</v>
      </c>
      <c r="AW5" t="str">
        <f>BA5&amp;BIN2DEC(AV5)&amp;AY5</f>
        <v>48,</v>
      </c>
      <c r="AX5" t="str">
        <f>BA5&amp;AZ5&amp;BIN2HEX(AV5,2)&amp;AY5</f>
        <v xml:space="preserve"> 0x30,</v>
      </c>
      <c r="AY5" t="s">
        <v>0</v>
      </c>
      <c r="AZ5" t="s">
        <v>1</v>
      </c>
      <c r="BC5" s="3" t="s">
        <v>47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0xFF,</v>
      </c>
      <c r="C6" t="str">
        <f t="shared" ref="C6:C20" si="1">Z6&amp;BIN2DEC(D6)&amp;X6</f>
        <v>255,</v>
      </c>
      <c r="D6" t="str">
        <f t="shared" ref="D6:D20" si="2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11110000</v>
      </c>
      <c r="V6" t="str">
        <f t="shared" ref="V6:V20" si="4">Z6&amp;BIN2DEC(U6)&amp;X6</f>
        <v>240,</v>
      </c>
      <c r="W6" t="str">
        <f t="shared" ref="W6:W20" si="5">Z6&amp;Y6&amp;BIN2HEX(U6,2)&amp;X6</f>
        <v xml:space="preserve"> 0xF0,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</v>
      </c>
      <c r="AP6">
        <v>0</v>
      </c>
      <c r="AQ6">
        <v>0</v>
      </c>
      <c r="AR6">
        <v>1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01001000</v>
      </c>
      <c r="AW6" t="str">
        <f t="shared" ref="AW6:AW20" si="10">BA6&amp;BIN2DEC(AV6)&amp;AY6</f>
        <v>72,</v>
      </c>
      <c r="AX6" t="str">
        <f t="shared" ref="AX6:AX20" si="11">BA6&amp;AZ6&amp;BIN2HEX(AV6,2)&amp;AY6</f>
        <v xml:space="preserve"> 0x48,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0xFF,</v>
      </c>
      <c r="C7" t="str">
        <f t="shared" si="1"/>
        <v>255,</v>
      </c>
      <c r="D7" t="str">
        <f t="shared" si="2"/>
        <v>11111111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 t="str">
        <f t="shared" si="3"/>
        <v>11110000</v>
      </c>
      <c r="V7" t="str">
        <f t="shared" si="4"/>
        <v>240,</v>
      </c>
      <c r="W7" t="str">
        <f t="shared" si="5"/>
        <v xml:space="preserve"> 0xF0,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</v>
      </c>
      <c r="AO7">
        <v>0</v>
      </c>
      <c r="AP7">
        <v>0</v>
      </c>
      <c r="AQ7">
        <v>0</v>
      </c>
      <c r="AR7">
        <v>0</v>
      </c>
      <c r="AS7">
        <v>1</v>
      </c>
      <c r="AT7">
        <v>0</v>
      </c>
      <c r="AU7">
        <v>0</v>
      </c>
      <c r="AV7" t="str">
        <f t="shared" si="9"/>
        <v>10000100</v>
      </c>
      <c r="AW7" t="str">
        <f t="shared" si="10"/>
        <v>132,</v>
      </c>
      <c r="AX7" t="str">
        <f t="shared" si="11"/>
        <v xml:space="preserve"> 0x84,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0xFF,</v>
      </c>
      <c r="C8" t="str">
        <f t="shared" si="1"/>
        <v>255,</v>
      </c>
      <c r="D8" t="str">
        <f t="shared" si="2"/>
        <v>11111111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 t="str">
        <f t="shared" si="3"/>
        <v>11110000</v>
      </c>
      <c r="V8" t="str">
        <f t="shared" si="4"/>
        <v>240,</v>
      </c>
      <c r="W8" t="str">
        <f t="shared" si="5"/>
        <v xml:space="preserve"> 0xF0,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0</v>
      </c>
      <c r="AP8">
        <v>0</v>
      </c>
      <c r="AQ8">
        <v>0</v>
      </c>
      <c r="AR8">
        <v>0</v>
      </c>
      <c r="AS8">
        <v>1</v>
      </c>
      <c r="AT8">
        <v>0</v>
      </c>
      <c r="AU8">
        <v>0</v>
      </c>
      <c r="AV8" t="str">
        <f t="shared" si="9"/>
        <v>10000100</v>
      </c>
      <c r="AW8" t="str">
        <f t="shared" si="10"/>
        <v>132,</v>
      </c>
      <c r="AX8" t="str">
        <f t="shared" si="11"/>
        <v xml:space="preserve"> 0x84,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0xF0,</v>
      </c>
      <c r="C9" t="str">
        <f t="shared" si="1"/>
        <v>240,</v>
      </c>
      <c r="D9" t="str">
        <f t="shared" si="2"/>
        <v>11110000</v>
      </c>
      <c r="E9">
        <v>1</v>
      </c>
      <c r="F9">
        <v>1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11110000</v>
      </c>
      <c r="V9" t="str">
        <f t="shared" si="4"/>
        <v>240,</v>
      </c>
      <c r="W9" t="str">
        <f t="shared" si="5"/>
        <v xml:space="preserve"> 0xF0,</v>
      </c>
      <c r="X9" t="s">
        <v>0</v>
      </c>
      <c r="Y9" t="s">
        <v>1</v>
      </c>
      <c r="AC9" t="str">
        <f t="shared" si="6"/>
        <v xml:space="preserve"> 0x01,</v>
      </c>
      <c r="AD9" t="str">
        <f t="shared" si="7"/>
        <v>1,</v>
      </c>
      <c r="AE9" t="str">
        <f t="shared" si="8"/>
        <v>00000001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0</v>
      </c>
      <c r="AP9">
        <v>1</v>
      </c>
      <c r="AQ9">
        <v>1</v>
      </c>
      <c r="AR9">
        <v>0</v>
      </c>
      <c r="AS9">
        <v>0</v>
      </c>
      <c r="AT9">
        <v>1</v>
      </c>
      <c r="AU9">
        <v>0</v>
      </c>
      <c r="AV9" t="str">
        <f t="shared" si="9"/>
        <v>00110010</v>
      </c>
      <c r="AW9" t="str">
        <f t="shared" si="10"/>
        <v>50,</v>
      </c>
      <c r="AX9" t="str">
        <f t="shared" si="11"/>
        <v xml:space="preserve"> 0x32,</v>
      </c>
      <c r="AY9" t="s">
        <v>0</v>
      </c>
      <c r="AZ9" t="s">
        <v>1</v>
      </c>
      <c r="BD9" t="str">
        <f t="shared" si="12"/>
        <v xml:space="preserve"> 0x00,</v>
      </c>
      <c r="BE9" t="str">
        <f t="shared" si="13"/>
        <v>0,</v>
      </c>
      <c r="BF9" t="str">
        <f t="shared" si="14"/>
        <v>00000000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0xF0,</v>
      </c>
      <c r="C10" t="str">
        <f t="shared" si="1"/>
        <v>240,</v>
      </c>
      <c r="D10" t="str">
        <f t="shared" si="2"/>
        <v>11110000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 t="str">
        <f t="shared" si="3"/>
        <v>11110000</v>
      </c>
      <c r="V10" t="str">
        <f t="shared" si="4"/>
        <v>240,</v>
      </c>
      <c r="W10" t="str">
        <f t="shared" si="5"/>
        <v xml:space="preserve"> 0xF0,</v>
      </c>
      <c r="X10" t="s">
        <v>0</v>
      </c>
      <c r="Y10" t="s">
        <v>1</v>
      </c>
      <c r="AC10" t="str">
        <f t="shared" si="6"/>
        <v xml:space="preserve"> 0x02,</v>
      </c>
      <c r="AD10" t="str">
        <f t="shared" si="7"/>
        <v>2,</v>
      </c>
      <c r="AE10" t="str">
        <f t="shared" si="8"/>
        <v>00000010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0</v>
      </c>
      <c r="AN10">
        <v>0</v>
      </c>
      <c r="AO10">
        <v>0</v>
      </c>
      <c r="AP10">
        <v>1</v>
      </c>
      <c r="AQ10">
        <v>1</v>
      </c>
      <c r="AR10">
        <v>0</v>
      </c>
      <c r="AS10">
        <v>0</v>
      </c>
      <c r="AT10">
        <v>0</v>
      </c>
      <c r="AU10">
        <v>0</v>
      </c>
      <c r="AV10" t="str">
        <f t="shared" si="9"/>
        <v>00110000</v>
      </c>
      <c r="AW10" t="str">
        <f t="shared" si="10"/>
        <v>48,</v>
      </c>
      <c r="AX10" t="str">
        <f t="shared" si="11"/>
        <v xml:space="preserve"> 0x30,</v>
      </c>
      <c r="AY10" t="s">
        <v>0</v>
      </c>
      <c r="AZ10" t="s">
        <v>1</v>
      </c>
      <c r="BD10" t="str">
        <f t="shared" si="12"/>
        <v xml:space="preserve"> 0x80,</v>
      </c>
      <c r="BE10" t="str">
        <f t="shared" si="13"/>
        <v>128,</v>
      </c>
      <c r="BF10" t="str">
        <f t="shared" si="14"/>
        <v>10000000</v>
      </c>
      <c r="BG10">
        <v>1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0xF0,</v>
      </c>
      <c r="C11" t="str">
        <f t="shared" si="1"/>
        <v>240,</v>
      </c>
      <c r="D11" t="str">
        <f t="shared" si="2"/>
        <v>11110000</v>
      </c>
      <c r="E11">
        <v>1</v>
      </c>
      <c r="F11">
        <v>1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 t="str">
        <f t="shared" si="3"/>
        <v>11110000</v>
      </c>
      <c r="V11" t="str">
        <f t="shared" si="4"/>
        <v>240,</v>
      </c>
      <c r="W11" t="str">
        <f t="shared" si="5"/>
        <v xml:space="preserve"> 0xF0,</v>
      </c>
      <c r="X11" t="s">
        <v>0</v>
      </c>
      <c r="Y11" t="s">
        <v>1</v>
      </c>
      <c r="AC11" t="str">
        <f t="shared" si="6"/>
        <v xml:space="preserve"> 0x02,</v>
      </c>
      <c r="AD11" t="str">
        <f t="shared" si="7"/>
        <v>2,</v>
      </c>
      <c r="AE11" t="str">
        <f t="shared" si="8"/>
        <v>00000010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1</v>
      </c>
      <c r="AM11">
        <v>0</v>
      </c>
      <c r="AN11">
        <v>0</v>
      </c>
      <c r="AO11">
        <v>0</v>
      </c>
      <c r="AP11">
        <v>1</v>
      </c>
      <c r="AQ11">
        <v>1</v>
      </c>
      <c r="AR11">
        <v>0</v>
      </c>
      <c r="AS11">
        <v>0</v>
      </c>
      <c r="AT11">
        <v>0</v>
      </c>
      <c r="AU11">
        <v>0</v>
      </c>
      <c r="AV11" t="str">
        <f t="shared" si="9"/>
        <v>00110000</v>
      </c>
      <c r="AW11" t="str">
        <f t="shared" si="10"/>
        <v>48,</v>
      </c>
      <c r="AX11" t="str">
        <f t="shared" si="11"/>
        <v xml:space="preserve"> 0x30,</v>
      </c>
      <c r="AY11" t="s">
        <v>0</v>
      </c>
      <c r="AZ11" t="s">
        <v>1</v>
      </c>
      <c r="BD11" t="str">
        <f t="shared" si="12"/>
        <v xml:space="preserve"> 0x80,</v>
      </c>
      <c r="BE11" t="str">
        <f t="shared" si="13"/>
        <v>128,</v>
      </c>
      <c r="BF11" t="str">
        <f t="shared" si="14"/>
        <v>10000000</v>
      </c>
      <c r="BG11">
        <v>1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 t="str">
        <f t="shared" si="3"/>
        <v>11110000</v>
      </c>
      <c r="V12" t="str">
        <f t="shared" si="4"/>
        <v>240,</v>
      </c>
      <c r="W12" t="str">
        <f t="shared" si="5"/>
        <v xml:space="preserve"> 0xF0,</v>
      </c>
      <c r="X12" t="s">
        <v>0</v>
      </c>
      <c r="Y12" t="s">
        <v>1</v>
      </c>
      <c r="AC12" t="str">
        <f t="shared" si="6"/>
        <v xml:space="preserve"> 0x04,</v>
      </c>
      <c r="AD12" t="str">
        <f t="shared" si="7"/>
        <v>4,</v>
      </c>
      <c r="AE12" t="str">
        <f t="shared" si="8"/>
        <v>00000100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1</v>
      </c>
      <c r="AQ12">
        <v>1</v>
      </c>
      <c r="AR12">
        <v>0</v>
      </c>
      <c r="AS12">
        <v>0</v>
      </c>
      <c r="AT12">
        <v>0</v>
      </c>
      <c r="AU12">
        <v>0</v>
      </c>
      <c r="AV12" t="str">
        <f t="shared" si="9"/>
        <v>00110000</v>
      </c>
      <c r="AW12" t="str">
        <f t="shared" si="10"/>
        <v>48,</v>
      </c>
      <c r="AX12" t="str">
        <f t="shared" si="11"/>
        <v xml:space="preserve"> 0x30,</v>
      </c>
      <c r="AY12" t="s">
        <v>0</v>
      </c>
      <c r="AZ12" t="s">
        <v>1</v>
      </c>
      <c r="BD12" t="str">
        <f t="shared" si="12"/>
        <v xml:space="preserve"> 0x40,</v>
      </c>
      <c r="BE12" t="str">
        <f t="shared" si="13"/>
        <v>64,</v>
      </c>
      <c r="BF12" t="str">
        <f t="shared" si="14"/>
        <v>01000000</v>
      </c>
      <c r="BG12">
        <v>0</v>
      </c>
      <c r="BH12">
        <v>1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0xF0,</v>
      </c>
      <c r="C13" t="str">
        <f t="shared" si="1"/>
        <v>240,</v>
      </c>
      <c r="D13" t="str">
        <f t="shared" si="2"/>
        <v>11110000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 t="str">
        <f t="shared" si="3"/>
        <v>11110000</v>
      </c>
      <c r="V13" t="str">
        <f t="shared" si="4"/>
        <v>240,</v>
      </c>
      <c r="W13" t="str">
        <f t="shared" si="5"/>
        <v xml:space="preserve"> 0xF0,</v>
      </c>
      <c r="X13" t="s">
        <v>0</v>
      </c>
      <c r="Y13" t="s">
        <v>1</v>
      </c>
      <c r="AC13" t="str">
        <f t="shared" si="6"/>
        <v xml:space="preserve"> 0x08,</v>
      </c>
      <c r="AD13" t="str">
        <f t="shared" si="7"/>
        <v>8,</v>
      </c>
      <c r="AE13" t="str">
        <f t="shared" si="8"/>
        <v>00001000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1</v>
      </c>
      <c r="AQ13">
        <v>1</v>
      </c>
      <c r="AR13">
        <v>0</v>
      </c>
      <c r="AS13">
        <v>0</v>
      </c>
      <c r="AT13">
        <v>0</v>
      </c>
      <c r="AU13">
        <v>0</v>
      </c>
      <c r="AV13" t="str">
        <f t="shared" si="9"/>
        <v>00110000</v>
      </c>
      <c r="AW13" t="str">
        <f t="shared" si="10"/>
        <v>48,</v>
      </c>
      <c r="AX13" t="str">
        <f t="shared" si="11"/>
        <v xml:space="preserve"> 0x30,</v>
      </c>
      <c r="AY13" t="s">
        <v>0</v>
      </c>
      <c r="AZ13" t="s">
        <v>1</v>
      </c>
      <c r="BD13" t="str">
        <f t="shared" si="12"/>
        <v xml:space="preserve"> 0x20,</v>
      </c>
      <c r="BE13" t="str">
        <f t="shared" si="13"/>
        <v>32,</v>
      </c>
      <c r="BF13" t="str">
        <f t="shared" si="14"/>
        <v>00100000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0xF0,</v>
      </c>
      <c r="C14" t="str">
        <f t="shared" si="1"/>
        <v>240,</v>
      </c>
      <c r="D14" t="str">
        <f t="shared" si="2"/>
        <v>11110000</v>
      </c>
      <c r="E14">
        <v>1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 t="str">
        <f t="shared" si="3"/>
        <v>11110000</v>
      </c>
      <c r="V14" t="str">
        <f t="shared" si="4"/>
        <v>240,</v>
      </c>
      <c r="W14" t="str">
        <f t="shared" si="5"/>
        <v xml:space="preserve"> 0xF0,</v>
      </c>
      <c r="X14" t="s">
        <v>0</v>
      </c>
      <c r="Y14" t="s">
        <v>1</v>
      </c>
      <c r="AC14" t="str">
        <f t="shared" si="6"/>
        <v xml:space="preserve"> 0x08,</v>
      </c>
      <c r="AD14" t="str">
        <f t="shared" si="7"/>
        <v>8,</v>
      </c>
      <c r="AE14" t="str">
        <f t="shared" si="8"/>
        <v>00001000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0</v>
      </c>
      <c r="AS14">
        <v>0</v>
      </c>
      <c r="AT14">
        <v>0</v>
      </c>
      <c r="AU14">
        <v>0</v>
      </c>
      <c r="AV14" t="str">
        <f t="shared" si="9"/>
        <v>00110000</v>
      </c>
      <c r="AW14" t="str">
        <f t="shared" si="10"/>
        <v>48,</v>
      </c>
      <c r="AX14" t="str">
        <f t="shared" si="11"/>
        <v xml:space="preserve"> 0x30,</v>
      </c>
      <c r="AY14" t="s">
        <v>0</v>
      </c>
      <c r="AZ14" t="s">
        <v>1</v>
      </c>
      <c r="BD14" t="str">
        <f t="shared" si="12"/>
        <v xml:space="preserve"> 0x20,</v>
      </c>
      <c r="BE14" t="str">
        <f t="shared" si="13"/>
        <v>32,</v>
      </c>
      <c r="BF14" t="str">
        <f t="shared" si="14"/>
        <v>00100000</v>
      </c>
      <c r="BG14">
        <v>0</v>
      </c>
      <c r="BH14">
        <v>0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0xF0,</v>
      </c>
      <c r="C15" t="str">
        <f t="shared" si="1"/>
        <v>240,</v>
      </c>
      <c r="D15" t="str">
        <f t="shared" si="2"/>
        <v>11110000</v>
      </c>
      <c r="E15">
        <v>1</v>
      </c>
      <c r="F15">
        <v>1</v>
      </c>
      <c r="G15">
        <v>1</v>
      </c>
      <c r="H15">
        <v>1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 t="str">
        <f t="shared" si="3"/>
        <v>11110000</v>
      </c>
      <c r="V15" t="str">
        <f t="shared" si="4"/>
        <v>240,</v>
      </c>
      <c r="W15" t="str">
        <f t="shared" si="5"/>
        <v xml:space="preserve"> 0xF0,</v>
      </c>
      <c r="X15" t="s">
        <v>0</v>
      </c>
      <c r="Y15" t="s">
        <v>1</v>
      </c>
      <c r="AC15" t="str">
        <f t="shared" si="6"/>
        <v xml:space="preserve"> 0x10,</v>
      </c>
      <c r="AD15" t="str">
        <f t="shared" si="7"/>
        <v>16,</v>
      </c>
      <c r="AE15" t="str">
        <f t="shared" si="8"/>
        <v>00010000</v>
      </c>
      <c r="AF15">
        <v>0</v>
      </c>
      <c r="AG15">
        <v>0</v>
      </c>
      <c r="AH15">
        <v>0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1</v>
      </c>
      <c r="AQ15">
        <v>1</v>
      </c>
      <c r="AR15">
        <v>0</v>
      </c>
      <c r="AS15">
        <v>0</v>
      </c>
      <c r="AT15">
        <v>0</v>
      </c>
      <c r="AU15">
        <v>0</v>
      </c>
      <c r="AV15" t="str">
        <f t="shared" si="9"/>
        <v>00110000</v>
      </c>
      <c r="AW15" t="str">
        <f t="shared" si="10"/>
        <v>48,</v>
      </c>
      <c r="AX15" t="str">
        <f t="shared" si="11"/>
        <v xml:space="preserve"> 0x30,</v>
      </c>
      <c r="AY15" t="s">
        <v>0</v>
      </c>
      <c r="AZ15" t="s">
        <v>1</v>
      </c>
      <c r="BD15" t="str">
        <f t="shared" si="12"/>
        <v xml:space="preserve"> 0x10,</v>
      </c>
      <c r="BE15" t="str">
        <f t="shared" si="13"/>
        <v>16,</v>
      </c>
      <c r="BF15" t="str">
        <f t="shared" si="14"/>
        <v>00010000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0xF0,</v>
      </c>
      <c r="C16" t="str">
        <f t="shared" si="1"/>
        <v>240,</v>
      </c>
      <c r="D16" t="str">
        <f t="shared" si="2"/>
        <v>11110000</v>
      </c>
      <c r="E16">
        <v>1</v>
      </c>
      <c r="F16">
        <v>1</v>
      </c>
      <c r="G16">
        <v>1</v>
      </c>
      <c r="H16">
        <v>1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 t="str">
        <f t="shared" si="3"/>
        <v>11110000</v>
      </c>
      <c r="V16" t="str">
        <f t="shared" si="4"/>
        <v>240,</v>
      </c>
      <c r="W16" t="str">
        <f t="shared" si="5"/>
        <v xml:space="preserve"> 0xF0,</v>
      </c>
      <c r="X16" t="s">
        <v>0</v>
      </c>
      <c r="Y16" t="s">
        <v>1</v>
      </c>
      <c r="AC16" t="str">
        <f t="shared" si="6"/>
        <v xml:space="preserve"> 0x20,</v>
      </c>
      <c r="AD16" t="str">
        <f t="shared" si="7"/>
        <v>32,</v>
      </c>
      <c r="AE16" t="str">
        <f t="shared" si="8"/>
        <v>00100000</v>
      </c>
      <c r="AF16">
        <v>0</v>
      </c>
      <c r="AG16">
        <v>0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1</v>
      </c>
      <c r="AQ16">
        <v>1</v>
      </c>
      <c r="AR16">
        <v>0</v>
      </c>
      <c r="AS16">
        <v>0</v>
      </c>
      <c r="AT16">
        <v>0</v>
      </c>
      <c r="AU16">
        <v>0</v>
      </c>
      <c r="AV16" t="str">
        <f t="shared" si="9"/>
        <v>00110000</v>
      </c>
      <c r="AW16" t="str">
        <f t="shared" si="10"/>
        <v>48,</v>
      </c>
      <c r="AX16" t="str">
        <f t="shared" si="11"/>
        <v xml:space="preserve"> 0x30,</v>
      </c>
      <c r="AY16" t="s">
        <v>0</v>
      </c>
      <c r="AZ16" t="s">
        <v>1</v>
      </c>
      <c r="BD16" t="str">
        <f t="shared" si="12"/>
        <v xml:space="preserve"> 0x08,</v>
      </c>
      <c r="BE16" t="str">
        <f t="shared" si="13"/>
        <v>8,</v>
      </c>
      <c r="BF16" t="str">
        <f t="shared" si="14"/>
        <v>00001000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0xF0,</v>
      </c>
      <c r="C17" t="str">
        <f t="shared" si="1"/>
        <v>240,</v>
      </c>
      <c r="D17" t="str">
        <f t="shared" si="2"/>
        <v>11110000</v>
      </c>
      <c r="E17">
        <v>1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 t="str">
        <f t="shared" si="3"/>
        <v>11110000</v>
      </c>
      <c r="V17" t="str">
        <f t="shared" si="4"/>
        <v>240,</v>
      </c>
      <c r="W17" t="str">
        <f t="shared" si="5"/>
        <v xml:space="preserve"> 0xF0,</v>
      </c>
      <c r="X17" t="s">
        <v>0</v>
      </c>
      <c r="Y17" t="s">
        <v>1</v>
      </c>
      <c r="AC17" t="str">
        <f t="shared" si="6"/>
        <v xml:space="preserve"> 0x20,</v>
      </c>
      <c r="AD17" t="str">
        <f t="shared" si="7"/>
        <v>32,</v>
      </c>
      <c r="AE17" t="str">
        <f t="shared" si="8"/>
        <v>00100000</v>
      </c>
      <c r="AF17">
        <v>0</v>
      </c>
      <c r="AG17">
        <v>0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0</v>
      </c>
      <c r="AS17">
        <v>0</v>
      </c>
      <c r="AT17">
        <v>0</v>
      </c>
      <c r="AU17">
        <v>0</v>
      </c>
      <c r="AV17" t="str">
        <f t="shared" si="9"/>
        <v>00110000</v>
      </c>
      <c r="AW17" t="str">
        <f t="shared" si="10"/>
        <v>48,</v>
      </c>
      <c r="AX17" t="str">
        <f t="shared" si="11"/>
        <v xml:space="preserve"> 0x30,</v>
      </c>
      <c r="AY17" t="s">
        <v>0</v>
      </c>
      <c r="AZ17" t="s">
        <v>1</v>
      </c>
      <c r="BD17" t="str">
        <f t="shared" si="12"/>
        <v xml:space="preserve"> 0x08,</v>
      </c>
      <c r="BE17" t="str">
        <f t="shared" si="13"/>
        <v>8,</v>
      </c>
      <c r="BF17" t="str">
        <f t="shared" si="14"/>
        <v>00001000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 t="str">
        <f t="shared" si="3"/>
        <v>11110000</v>
      </c>
      <c r="V18" t="str">
        <f t="shared" si="4"/>
        <v>240,</v>
      </c>
      <c r="W18" t="str">
        <f t="shared" si="5"/>
        <v xml:space="preserve"> 0xF0,</v>
      </c>
      <c r="X18" t="s">
        <v>0</v>
      </c>
      <c r="Y18" t="s">
        <v>1</v>
      </c>
      <c r="AC18" t="str">
        <f t="shared" si="6"/>
        <v xml:space="preserve"> 0x40,</v>
      </c>
      <c r="AD18" t="str">
        <f t="shared" si="7"/>
        <v>64,</v>
      </c>
      <c r="AE18" t="str">
        <f t="shared" si="8"/>
        <v>01000000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0x04,</v>
      </c>
      <c r="BE18" t="str">
        <f t="shared" si="13"/>
        <v>4,</v>
      </c>
      <c r="BF18" t="str">
        <f t="shared" si="14"/>
        <v>00000100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1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0xF0,</v>
      </c>
      <c r="C19" t="str">
        <f t="shared" si="1"/>
        <v>240,</v>
      </c>
      <c r="D19" t="str">
        <f t="shared" si="2"/>
        <v>11110000</v>
      </c>
      <c r="E19">
        <v>1</v>
      </c>
      <c r="F19">
        <v>1</v>
      </c>
      <c r="G19">
        <v>1</v>
      </c>
      <c r="H19">
        <v>1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 t="str">
        <f t="shared" si="3"/>
        <v>11110000</v>
      </c>
      <c r="V19" t="str">
        <f t="shared" si="4"/>
        <v>240,</v>
      </c>
      <c r="W19" t="str">
        <f t="shared" si="5"/>
        <v xml:space="preserve"> 0xF0,</v>
      </c>
      <c r="X19" t="s">
        <v>0</v>
      </c>
      <c r="Y19" t="s">
        <v>1</v>
      </c>
      <c r="AC19" t="str">
        <f t="shared" si="6"/>
        <v xml:space="preserve"> 0x80,</v>
      </c>
      <c r="AD19" t="str">
        <f t="shared" si="7"/>
        <v>128,</v>
      </c>
      <c r="AE19" t="str">
        <f t="shared" si="8"/>
        <v>10000000</v>
      </c>
      <c r="AF19">
        <v>1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1</v>
      </c>
      <c r="AQ19">
        <v>1</v>
      </c>
      <c r="AR19">
        <v>0</v>
      </c>
      <c r="AS19">
        <v>0</v>
      </c>
      <c r="AT19">
        <v>0</v>
      </c>
      <c r="AU19">
        <v>0</v>
      </c>
      <c r="AV19" t="str">
        <f t="shared" si="9"/>
        <v>00110000</v>
      </c>
      <c r="AW19" t="str">
        <f t="shared" si="10"/>
        <v>48,</v>
      </c>
      <c r="AX19" t="str">
        <f t="shared" si="11"/>
        <v xml:space="preserve"> 0x30,</v>
      </c>
      <c r="AY19" t="s">
        <v>0</v>
      </c>
      <c r="AZ19" t="s">
        <v>1</v>
      </c>
      <c r="BD19" t="str">
        <f t="shared" si="12"/>
        <v xml:space="preserve"> 0x02,</v>
      </c>
      <c r="BE19" t="str">
        <f t="shared" si="13"/>
        <v>2,</v>
      </c>
      <c r="BF19" t="str">
        <f t="shared" si="14"/>
        <v>00000010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0xF0,</v>
      </c>
      <c r="C20" t="str">
        <f t="shared" si="1"/>
        <v>240,</v>
      </c>
      <c r="D20" t="str">
        <f t="shared" si="2"/>
        <v>11110000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1</v>
      </c>
      <c r="P20">
        <v>1</v>
      </c>
      <c r="Q20">
        <v>0</v>
      </c>
      <c r="R20">
        <v>0</v>
      </c>
      <c r="S20">
        <v>0</v>
      </c>
      <c r="T20">
        <v>0</v>
      </c>
      <c r="U20" t="str">
        <f t="shared" si="3"/>
        <v>11110000</v>
      </c>
      <c r="V20" t="str">
        <f t="shared" si="4"/>
        <v>240,</v>
      </c>
      <c r="W20" t="str">
        <f t="shared" si="5"/>
        <v xml:space="preserve"> 0xF0,</v>
      </c>
      <c r="X20" t="s">
        <v>0</v>
      </c>
      <c r="Y20" t="s">
        <v>1</v>
      </c>
      <c r="AC20" t="str">
        <f t="shared" si="6"/>
        <v xml:space="preserve"> 0xFF,</v>
      </c>
      <c r="AD20" t="str">
        <f t="shared" si="7"/>
        <v>255,</v>
      </c>
      <c r="AE20" t="str">
        <f t="shared" si="8"/>
        <v>11111111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0</v>
      </c>
      <c r="AP20">
        <v>1</v>
      </c>
      <c r="AQ20">
        <v>1</v>
      </c>
      <c r="AR20">
        <v>0</v>
      </c>
      <c r="AS20">
        <v>1</v>
      </c>
      <c r="AT20">
        <v>1</v>
      </c>
      <c r="AU20">
        <v>0</v>
      </c>
      <c r="AV20" t="str">
        <f t="shared" si="9"/>
        <v>10110110</v>
      </c>
      <c r="AW20" t="str">
        <f t="shared" si="10"/>
        <v>182,</v>
      </c>
      <c r="AX20" t="str">
        <f t="shared" si="11"/>
        <v xml:space="preserve"> 0xB6,</v>
      </c>
      <c r="AY20" t="s">
        <v>0</v>
      </c>
      <c r="AZ20" t="s">
        <v>1</v>
      </c>
      <c r="BD20" t="str">
        <f t="shared" si="12"/>
        <v xml:space="preserve"> 0xFE,</v>
      </c>
      <c r="BE20" t="str">
        <f t="shared" si="13"/>
        <v>254,</v>
      </c>
      <c r="BF20" t="str">
        <f t="shared" si="14"/>
        <v>11111110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1</v>
      </c>
      <c r="P22">
        <f t="shared" si="18"/>
        <v>1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12,</v>
      </c>
      <c r="V22" t="str">
        <f>Y20&amp;DEC2HEX(U22,2)&amp;X20</f>
        <v xml:space="preserve"> 0x0C,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1</v>
      </c>
      <c r="AQ22">
        <f t="shared" si="19"/>
        <v>1</v>
      </c>
      <c r="AR22">
        <f t="shared" si="19"/>
        <v>1</v>
      </c>
      <c r="AS22">
        <f t="shared" si="19"/>
        <v>1</v>
      </c>
      <c r="AT22">
        <f t="shared" si="19"/>
        <v>1</v>
      </c>
      <c r="AU22">
        <f>MAX(AU5:AU20)</f>
        <v>0</v>
      </c>
      <c r="AV22" t="str">
        <f>SUM(AF22:AU22)&amp;AY20</f>
        <v>15,</v>
      </c>
      <c r="AW22" t="str">
        <f>AZ20&amp;DEC2HEX(AV22,2)&amp;AY20</f>
        <v xml:space="preserve"> 0x0F,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12,255,240,255,240,255,240,255,240,240,240,240,240,240,240,240,240,240,240,240,240,240,240,240,240,240,240,240,240,240,240,240,240,     //  Ъ     //  170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15,0,48,0,72,0,132,0,132,1,50,2,48,2,48,4,48,8,48,8,48,16,48,32,48,32,48,64,0,128,48,255,182,     //  Ы     //  171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7,0,0,0,0,0,0,0,0,0,0,128,0,128,0,64,0,32,0,32,0,16,0,8,0,8,0,4,0,2,0,254,0,     //  Ь     //  172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0x0C, 0xFF, 0xF0, 0xFF, 0xF0, 0xFF, 0xF0, 0xFF, 0xF0, 0xF0, 0xF0, 0xF0, 0xF0, 0xF0, 0xF0, 0xF0, 0xF0, 0xF0, 0xF0, 0xF0, 0xF0, 0xF0, 0xF0, 0xF0, 0xF0, 0xF0, 0xF0, 0xF0, 0xF0, 0xF0, 0xF0, 0xF0, 0xF0,     //  Ъ     //  170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0x0F, 0x00, 0x30, 0x00, 0x48, 0x00, 0x84, 0x00, 0x84, 0x01, 0x32, 0x02, 0x30, 0x02, 0x30, 0x04, 0x30, 0x08, 0x30, 0x08, 0x30, 0x10, 0x30, 0x20, 0x30, 0x20, 0x30, 0x40, 0x00, 0x80, 0x30, 0xFF, 0xB6,     //  Ы     //  171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0x00, 0x00, 0x80, 0x00, 0x80, 0x00, 0x40, 0x00, 0x20, 0x00, 0x20, 0x00, 0x10, 0x00, 0x08, 0x00, 0x08, 0x00, 0x04, 0x00, 0x02, 0x00, 0xFE, 0x00,     //  Ь     //  172</v>
      </c>
    </row>
    <row r="28" spans="1:79">
      <c r="A28" s="1" t="str">
        <f>$B$24</f>
        <v>12,255,240,255,240,255,240,255,240,240,240,240,240,240,240,240,240,240,240,240,240,240,240,240,240,240,240,240,240,240,240,240,240,     //  Ъ     //  170</v>
      </c>
      <c r="E28" t="s">
        <v>4</v>
      </c>
      <c r="AB28" s="1" t="str">
        <f>$AC$24</f>
        <v>15,0,48,0,72,0,132,0,132,1,50,2,48,2,48,4,48,8,48,8,48,16,48,32,48,32,48,64,0,128,48,255,182,     //  Ы     //  171</v>
      </c>
      <c r="AF28" t="s">
        <v>4</v>
      </c>
      <c r="BC28" s="1" t="str">
        <f>$BD$24</f>
        <v>7,0,0,0,0,0,0,0,0,0,0,128,0,128,0,64,0,32,0,32,0,16,0,8,0,8,0,4,0,2,0,254,0,     //  Ь     //  172</v>
      </c>
      <c r="BG28" t="s">
        <v>4</v>
      </c>
    </row>
    <row r="29" spans="1:79">
      <c r="A29" s="2" t="str">
        <f>$B$25</f>
        <v xml:space="preserve"> 0x0C, 0xFF, 0xF0, 0xFF, 0xF0, 0xFF, 0xF0, 0xFF, 0xF0, 0xF0, 0xF0, 0xF0, 0xF0, 0xF0, 0xF0, 0xF0, 0xF0, 0xF0, 0xF0, 0xF0, 0xF0, 0xF0, 0xF0, 0xF0, 0xF0, 0xF0, 0xF0, 0xF0, 0xF0, 0xF0, 0xF0, 0xF0, 0xF0,     //  Ъ     //  170</v>
      </c>
      <c r="E29" t="s">
        <v>3</v>
      </c>
      <c r="AB29" s="2" t="str">
        <f>$AC$25</f>
        <v xml:space="preserve"> 0x0F, 0x00, 0x30, 0x00, 0x48, 0x00, 0x84, 0x00, 0x84, 0x01, 0x32, 0x02, 0x30, 0x02, 0x30, 0x04, 0x30, 0x08, 0x30, 0x08, 0x30, 0x10, 0x30, 0x20, 0x30, 0x20, 0x30, 0x40, 0x00, 0x80, 0x30, 0xFF, 0xB6,     //  Ы     //  171</v>
      </c>
      <c r="AF29" t="s">
        <v>3</v>
      </c>
      <c r="BC29" s="2" t="str">
        <f>$BD$25</f>
        <v xml:space="preserve"> 0x07, 0x00, 0x00, 0x00, 0x00, 0x00, 0x00, 0x00, 0x00, 0x00, 0x00, 0x80, 0x00, 0x80, 0x00, 0x40, 0x00, 0x20, 0x00, 0x20, 0x00, 0x10, 0x00, 0x08, 0x00, 0x08, 0x00, 0x04, 0x00, 0x02, 0x00, 0xFE, 0x00,     //  Ь     //  172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G8:G17 H13:K13 H8:L12 E5:N5 E6:F20 H14:I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8 M13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6" priority="11" operator="greaterThan">
      <formula>1</formula>
    </cfRule>
  </conditionalFormatting>
  <conditionalFormatting sqref="AF6:AG20 AH6:AO7 AH18:AO19 AI8:AM12 AF5:AO5 AI13:AL15 AK16:AL17 AH8:AH17 AN8:AO17 AM20:AO20 AM6:AN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 AN6:AN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5" priority="6" operator="greaterThan">
      <formula>1</formula>
    </cfRule>
  </conditionalFormatting>
  <conditionalFormatting sqref="BI6:BP7 BI18:BP19 BJ13:BM13 BJ8:BN12 BG5:BP5 BM14:BM17 BI8:BI17 BN13:BN17 BG6:BH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4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7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173</v>
      </c>
      <c r="Z4" t="s">
        <v>5</v>
      </c>
      <c r="AB4" s="3">
        <v>174</v>
      </c>
      <c r="BA4" t="s">
        <v>5</v>
      </c>
      <c r="BC4" s="3">
        <v>175</v>
      </c>
      <c r="CB4" t="s">
        <v>5</v>
      </c>
    </row>
    <row r="5" spans="1:80">
      <c r="A5" s="3" t="s">
        <v>48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49</v>
      </c>
      <c r="AC5" t="str">
        <f>BA5&amp;AZ5&amp;BIN2HEX(AE5,2)&amp;AY5</f>
        <v xml:space="preserve"> 0xC6,</v>
      </c>
      <c r="AD5" t="str">
        <f>BA5&amp;BIN2DEC(AE5)&amp;AY5</f>
        <v>198,</v>
      </c>
      <c r="AE5" t="str">
        <f>AF5&amp;AG5&amp;AH5&amp;AI5&amp;AJ5&amp;AK5&amp;AL5&amp;AM5</f>
        <v>11000110</v>
      </c>
      <c r="AF5">
        <v>1</v>
      </c>
      <c r="AG5">
        <v>1</v>
      </c>
      <c r="AH5">
        <v>0</v>
      </c>
      <c r="AI5">
        <v>0</v>
      </c>
      <c r="AJ5">
        <v>0</v>
      </c>
      <c r="AK5">
        <v>1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50</v>
      </c>
      <c r="BD5" t="str">
        <f>CB5&amp;CA5&amp;BIN2HEX(BF5,2)&amp;BZ5</f>
        <v xml:space="preserve"> 0x3F,</v>
      </c>
      <c r="BE5" t="str">
        <f>CB5&amp;BIN2DEC(BF5)&amp;BZ5</f>
        <v>63,</v>
      </c>
      <c r="BF5" t="str">
        <f>BG5&amp;BH5&amp;BI5&amp;BJ5&amp;BK5&amp;BL5&amp;BM5&amp;BN5</f>
        <v>00111111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0xCF,</v>
      </c>
      <c r="AD6" t="str">
        <f t="shared" ref="AD6:AD20" si="7">BA6&amp;BIN2DEC(AE6)&amp;AY6</f>
        <v>207,</v>
      </c>
      <c r="AE6" t="str">
        <f t="shared" ref="AE6:AE20" si="8">AF6&amp;AG6&amp;AH6&amp;AI6&amp;AJ6&amp;AK6&amp;AL6&amp;AM6</f>
        <v>11001111</v>
      </c>
      <c r="AF6">
        <v>1</v>
      </c>
      <c r="AG6">
        <v>1</v>
      </c>
      <c r="AH6">
        <v>0</v>
      </c>
      <c r="AI6">
        <v>0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0x7F,</v>
      </c>
      <c r="BE6" t="str">
        <f t="shared" ref="BE6:BE20" si="13">CB6&amp;BIN2DEC(BF6)&amp;BZ6</f>
        <v>127,</v>
      </c>
      <c r="BF6" t="str">
        <f t="shared" ref="BF6:BF20" si="14">BG6&amp;BH6&amp;BI6&amp;BJ6&amp;BK6&amp;BL6&amp;BM6&amp;BN6</f>
        <v>01111111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0xDF,</v>
      </c>
      <c r="AD7" t="str">
        <f t="shared" si="7"/>
        <v>223,</v>
      </c>
      <c r="AE7" t="str">
        <f t="shared" si="8"/>
        <v>11011111</v>
      </c>
      <c r="AF7">
        <v>1</v>
      </c>
      <c r="AG7">
        <v>1</v>
      </c>
      <c r="AH7">
        <v>0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10000000</v>
      </c>
      <c r="AW7" t="str">
        <f t="shared" si="10"/>
        <v>128,</v>
      </c>
      <c r="AX7" t="str">
        <f t="shared" si="11"/>
        <v xml:space="preserve"> 0x80,</v>
      </c>
      <c r="AY7" t="s">
        <v>0</v>
      </c>
      <c r="AZ7" t="s">
        <v>1</v>
      </c>
      <c r="BD7" t="str">
        <f t="shared" si="12"/>
        <v xml:space="preserve"> 0xE3,</v>
      </c>
      <c r="BE7" t="str">
        <f t="shared" si="13"/>
        <v>227,</v>
      </c>
      <c r="BF7" t="str">
        <f t="shared" si="14"/>
        <v>11100011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0xC7,</v>
      </c>
      <c r="C8" t="str">
        <f t="shared" si="1"/>
        <v>199,</v>
      </c>
      <c r="D8" t="str">
        <f t="shared" si="2"/>
        <v>11000111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0xD9,</v>
      </c>
      <c r="AD8" t="str">
        <f t="shared" si="7"/>
        <v>217,</v>
      </c>
      <c r="AE8" t="str">
        <f t="shared" si="8"/>
        <v>11011001</v>
      </c>
      <c r="AF8">
        <v>1</v>
      </c>
      <c r="AG8">
        <v>1</v>
      </c>
      <c r="AH8">
        <v>0</v>
      </c>
      <c r="AI8">
        <v>1</v>
      </c>
      <c r="AJ8">
        <v>1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0x03,</v>
      </c>
      <c r="C9" t="str">
        <f t="shared" si="1"/>
        <v>3,</v>
      </c>
      <c r="D9" t="str">
        <f t="shared" si="2"/>
        <v>00000011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0xD9,</v>
      </c>
      <c r="AD9" t="str">
        <f t="shared" si="7"/>
        <v>217,</v>
      </c>
      <c r="AE9" t="str">
        <f t="shared" si="8"/>
        <v>11011001</v>
      </c>
      <c r="AF9">
        <v>1</v>
      </c>
      <c r="AG9">
        <v>1</v>
      </c>
      <c r="AH9">
        <v>0</v>
      </c>
      <c r="AI9">
        <v>1</v>
      </c>
      <c r="AJ9">
        <v>1</v>
      </c>
      <c r="AK9">
        <v>0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0x03,</v>
      </c>
      <c r="C10" t="str">
        <f t="shared" si="1"/>
        <v>3,</v>
      </c>
      <c r="D10" t="str">
        <f t="shared" si="2"/>
        <v>00000011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0xD9,</v>
      </c>
      <c r="AD10" t="str">
        <f t="shared" si="7"/>
        <v>217,</v>
      </c>
      <c r="AE10" t="str">
        <f t="shared" si="8"/>
        <v>11011001</v>
      </c>
      <c r="AF10">
        <v>1</v>
      </c>
      <c r="AG10">
        <v>1</v>
      </c>
      <c r="AH10">
        <v>0</v>
      </c>
      <c r="AI10">
        <v>1</v>
      </c>
      <c r="AJ10">
        <v>1</v>
      </c>
      <c r="AK10">
        <v>0</v>
      </c>
      <c r="AL10">
        <v>0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0x03,</v>
      </c>
      <c r="C11" t="str">
        <f t="shared" si="1"/>
        <v>3,</v>
      </c>
      <c r="D11" t="str">
        <f t="shared" si="2"/>
        <v>00000011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0xD9,</v>
      </c>
      <c r="AD11" t="str">
        <f t="shared" si="7"/>
        <v>217,</v>
      </c>
      <c r="AE11" t="str">
        <f t="shared" si="8"/>
        <v>11011001</v>
      </c>
      <c r="AF11">
        <v>1</v>
      </c>
      <c r="AG11">
        <v>1</v>
      </c>
      <c r="AH11">
        <v>0</v>
      </c>
      <c r="AI11">
        <v>1</v>
      </c>
      <c r="AJ11">
        <v>1</v>
      </c>
      <c r="AK11">
        <v>0</v>
      </c>
      <c r="AL11">
        <v>0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0x1F,</v>
      </c>
      <c r="C12" t="str">
        <f t="shared" si="1"/>
        <v>31,</v>
      </c>
      <c r="D12" t="str">
        <f t="shared" si="2"/>
        <v>00011111</v>
      </c>
      <c r="E12">
        <v>0</v>
      </c>
      <c r="F12">
        <v>0</v>
      </c>
      <c r="G12">
        <v>0</v>
      </c>
      <c r="H12">
        <v>1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0xF9,</v>
      </c>
      <c r="AD12" t="str">
        <f t="shared" si="7"/>
        <v>249,</v>
      </c>
      <c r="AE12" t="str">
        <f t="shared" si="8"/>
        <v>11111001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0</v>
      </c>
      <c r="AL12">
        <v>0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0xE3,</v>
      </c>
      <c r="BE12" t="str">
        <f t="shared" si="13"/>
        <v>227,</v>
      </c>
      <c r="BF12" t="str">
        <f t="shared" si="14"/>
        <v>11100011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0x1F,</v>
      </c>
      <c r="C13" t="str">
        <f t="shared" si="1"/>
        <v>31,</v>
      </c>
      <c r="D13" t="str">
        <f t="shared" si="2"/>
        <v>00011111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0xF9,</v>
      </c>
      <c r="AD13" t="str">
        <f t="shared" si="7"/>
        <v>249,</v>
      </c>
      <c r="AE13" t="str">
        <f t="shared" si="8"/>
        <v>11111001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1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10000000</v>
      </c>
      <c r="AW13" t="str">
        <f t="shared" si="10"/>
        <v>128,</v>
      </c>
      <c r="AX13" t="str">
        <f t="shared" si="11"/>
        <v xml:space="preserve"> 0x80,</v>
      </c>
      <c r="AY13" t="s">
        <v>0</v>
      </c>
      <c r="AZ13" t="s">
        <v>1</v>
      </c>
      <c r="BD13" t="str">
        <f t="shared" si="12"/>
        <v xml:space="preserve"> 0x73,</v>
      </c>
      <c r="BE13" t="str">
        <f t="shared" si="13"/>
        <v>115,</v>
      </c>
      <c r="BF13" t="str">
        <f t="shared" si="14"/>
        <v>01110011</v>
      </c>
      <c r="BG13">
        <v>0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0x03,</v>
      </c>
      <c r="C14" t="str">
        <f t="shared" si="1"/>
        <v>3,</v>
      </c>
      <c r="D14" t="str">
        <f t="shared" si="2"/>
        <v>00000011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0xF9,</v>
      </c>
      <c r="AD14" t="str">
        <f t="shared" si="7"/>
        <v>249,</v>
      </c>
      <c r="AE14" t="str">
        <f t="shared" si="8"/>
        <v>11111001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0</v>
      </c>
      <c r="AM14">
        <v>1</v>
      </c>
      <c r="AN14">
        <v>1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10000000</v>
      </c>
      <c r="AW14" t="str">
        <f t="shared" si="10"/>
        <v>128,</v>
      </c>
      <c r="AX14" t="str">
        <f t="shared" si="11"/>
        <v xml:space="preserve"> 0x80,</v>
      </c>
      <c r="AY14" t="s">
        <v>0</v>
      </c>
      <c r="AZ14" t="s">
        <v>1</v>
      </c>
      <c r="BD14" t="str">
        <f t="shared" si="12"/>
        <v xml:space="preserve"> 0x3F,</v>
      </c>
      <c r="BE14" t="str">
        <f t="shared" si="13"/>
        <v>63,</v>
      </c>
      <c r="BF14" t="str">
        <f t="shared" si="14"/>
        <v>00111111</v>
      </c>
      <c r="BG14">
        <v>0</v>
      </c>
      <c r="BH14">
        <v>0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0x03,</v>
      </c>
      <c r="C15" t="str">
        <f t="shared" si="1"/>
        <v>3,</v>
      </c>
      <c r="D15" t="str">
        <f t="shared" si="2"/>
        <v>00000011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0xD9,</v>
      </c>
      <c r="AD15" t="str">
        <f t="shared" si="7"/>
        <v>217,</v>
      </c>
      <c r="AE15" t="str">
        <f t="shared" si="8"/>
        <v>11011001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0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0x0F,</v>
      </c>
      <c r="BE15" t="str">
        <f t="shared" si="13"/>
        <v>15,</v>
      </c>
      <c r="BF15" t="str">
        <f t="shared" si="14"/>
        <v>00001111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0x03,</v>
      </c>
      <c r="C16" t="str">
        <f t="shared" si="1"/>
        <v>3,</v>
      </c>
      <c r="D16" t="str">
        <f t="shared" si="2"/>
        <v>00000011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0xD9,</v>
      </c>
      <c r="AD16" t="str">
        <f t="shared" si="7"/>
        <v>217,</v>
      </c>
      <c r="AE16" t="str">
        <f t="shared" si="8"/>
        <v>11011001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0x1F,</v>
      </c>
      <c r="BE16" t="str">
        <f t="shared" si="13"/>
        <v>31,</v>
      </c>
      <c r="BF16" t="str">
        <f t="shared" si="14"/>
        <v>00011111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0xC7,</v>
      </c>
      <c r="C17" t="str">
        <f t="shared" si="1"/>
        <v>199,</v>
      </c>
      <c r="D17" t="str">
        <f t="shared" si="2"/>
        <v>11000111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0xD9,</v>
      </c>
      <c r="AD17" t="str">
        <f t="shared" si="7"/>
        <v>217,</v>
      </c>
      <c r="AE17" t="str">
        <f t="shared" si="8"/>
        <v>11011001</v>
      </c>
      <c r="AF17">
        <v>1</v>
      </c>
      <c r="AG17">
        <v>1</v>
      </c>
      <c r="AH17">
        <v>0</v>
      </c>
      <c r="AI17">
        <v>1</v>
      </c>
      <c r="AJ17">
        <v>1</v>
      </c>
      <c r="AK17">
        <v>0</v>
      </c>
      <c r="AL17">
        <v>0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10000000</v>
      </c>
      <c r="AW17" t="str">
        <f t="shared" si="10"/>
        <v>128,</v>
      </c>
      <c r="AX17" t="str">
        <f t="shared" si="11"/>
        <v xml:space="preserve"> 0x80,</v>
      </c>
      <c r="AY17" t="s">
        <v>0</v>
      </c>
      <c r="AZ17" t="s">
        <v>1</v>
      </c>
      <c r="BD17" t="str">
        <f t="shared" si="12"/>
        <v xml:space="preserve"> 0x3B,</v>
      </c>
      <c r="BE17" t="str">
        <f t="shared" si="13"/>
        <v>59,</v>
      </c>
      <c r="BF17" t="str">
        <f t="shared" si="14"/>
        <v>00111011</v>
      </c>
      <c r="BG17">
        <v>0</v>
      </c>
      <c r="BH17">
        <v>0</v>
      </c>
      <c r="BI17">
        <v>1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0xDF,</v>
      </c>
      <c r="AD18" t="str">
        <f t="shared" si="7"/>
        <v>223,</v>
      </c>
      <c r="AE18" t="str">
        <f t="shared" si="8"/>
        <v>11011111</v>
      </c>
      <c r="AF18">
        <v>1</v>
      </c>
      <c r="AG18">
        <v>1</v>
      </c>
      <c r="AH18">
        <v>0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0x73,</v>
      </c>
      <c r="BE18" t="str">
        <f t="shared" si="13"/>
        <v>115,</v>
      </c>
      <c r="BF18" t="str">
        <f t="shared" si="14"/>
        <v>01110011</v>
      </c>
      <c r="BG18">
        <v>0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0xCF,</v>
      </c>
      <c r="AD19" t="str">
        <f t="shared" si="7"/>
        <v>207,</v>
      </c>
      <c r="AE19" t="str">
        <f t="shared" si="8"/>
        <v>11001111</v>
      </c>
      <c r="AF19">
        <v>1</v>
      </c>
      <c r="AG19">
        <v>1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0xE3,</v>
      </c>
      <c r="BE19" t="str">
        <f t="shared" si="13"/>
        <v>227,</v>
      </c>
      <c r="BF19" t="str">
        <f t="shared" si="14"/>
        <v>11100011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8,56,0,124,0,238,0,199,0,3,0,3,0,3,0,31,0,31,0,3,0,3,0,3,0,199,0,238,0,124,0,56,0,     //  Э     //  173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9,198,0,207,0,223,128,217,128,217,128,217,128,217,128,249,128,249,128,249,128,217,128,217,128,217,128,223,128,207,0,198,0,     //  Ю     //  174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8,63,0,127,0,227,0,195,0,195,0,195,0,195,0,227,0,115,0,63,0,15,0,31,0,59,0,115,0,227,0,195,0,     //  Я     //  175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0x38, 0x00, 0x7C, 0x00, 0xEE, 0x00, 0xC7, 0x00, 0x03, 0x00, 0x03, 0x00, 0x03, 0x00, 0x1F, 0x00, 0x1F, 0x00, 0x03, 0x00, 0x03, 0x00, 0x03, 0x00, 0xC7, 0x00, 0xEE, 0x00, 0x7C, 0x00, 0x38, 0x00,     //  Э     //  173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0xC6, 0x00, 0xCF, 0x00, 0xDF, 0x80, 0xD9, 0x80, 0xD9, 0x80, 0xD9, 0x80, 0xD9, 0x80, 0xF9, 0x80, 0xF9, 0x80, 0xF9, 0x80, 0xD9, 0x80, 0xD9, 0x80, 0xD9, 0x80, 0xDF, 0x80, 0xCF, 0x00, 0xC6, 0x00,     //  Ю     //  174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0x3F, 0x00, 0x7F, 0x00, 0xE3, 0x00, 0xC3, 0x00, 0xC3, 0x00, 0xC3, 0x00, 0xC3, 0x00, 0xE3, 0x00, 0x73, 0x00, 0x3F, 0x00, 0x0F, 0x00, 0x1F, 0x00, 0x3B, 0x00, 0x73, 0x00, 0xE3, 0x00, 0xC3, 0x00,     //  Я     //  175</v>
      </c>
    </row>
    <row r="28" spans="1:79">
      <c r="A28" s="1" t="str">
        <f>$B$24</f>
        <v>8,56,0,124,0,238,0,199,0,3,0,3,0,3,0,31,0,31,0,3,0,3,0,3,0,199,0,238,0,124,0,56,0,     //  Э     //  173</v>
      </c>
      <c r="E28" t="s">
        <v>4</v>
      </c>
      <c r="AB28" s="1" t="str">
        <f>$AC$24</f>
        <v>9,198,0,207,0,223,128,217,128,217,128,217,128,217,128,249,128,249,128,249,128,217,128,217,128,217,128,223,128,207,0,198,0,     //  Ю     //  174</v>
      </c>
      <c r="AF28" t="s">
        <v>4</v>
      </c>
      <c r="BC28" s="1" t="str">
        <f>$BD$24</f>
        <v>8,63,0,127,0,227,0,195,0,195,0,195,0,195,0,227,0,115,0,63,0,15,0,31,0,59,0,115,0,227,0,195,0,     //  Я     //  175</v>
      </c>
      <c r="BG28" t="s">
        <v>4</v>
      </c>
    </row>
    <row r="29" spans="1:79">
      <c r="A29" s="2" t="str">
        <f>$B$25</f>
        <v xml:space="preserve"> 0x08, 0x38, 0x00, 0x7C, 0x00, 0xEE, 0x00, 0xC7, 0x00, 0x03, 0x00, 0x03, 0x00, 0x03, 0x00, 0x1F, 0x00, 0x1F, 0x00, 0x03, 0x00, 0x03, 0x00, 0x03, 0x00, 0xC7, 0x00, 0xEE, 0x00, 0x7C, 0x00, 0x38, 0x00,     //  Э     //  173</v>
      </c>
      <c r="E29" t="s">
        <v>3</v>
      </c>
      <c r="AB29" s="2" t="str">
        <f>$AC$25</f>
        <v xml:space="preserve"> 0x09, 0xC6, 0x00, 0xCF, 0x00, 0xDF, 0x80, 0xD9, 0x80, 0xD9, 0x80, 0xD9, 0x80, 0xD9, 0x80, 0xF9, 0x80, 0xF9, 0x80, 0xF9, 0x80, 0xD9, 0x80, 0xD9, 0x80, 0xD9, 0x80, 0xDF, 0x80, 0xCF, 0x00, 0xC6, 0x00,     //  Ю     //  174</v>
      </c>
      <c r="AF29" t="s">
        <v>3</v>
      </c>
      <c r="BC29" s="2" t="str">
        <f>$BD$25</f>
        <v xml:space="preserve"> 0x08, 0x3F, 0x00, 0x7F, 0x00, 0xE3, 0x00, 0xC3, 0x00, 0xC3, 0x00, 0xC3, 0x00, 0xC3, 0x00, 0xE3, 0x00, 0x73, 0x00, 0x3F, 0x00, 0x0F, 0x00, 0x1F, 0x00, 0x3B, 0x00, 0x73, 0x00, 0xE3, 0x00, 0xC3, 0x00,     //  Я     //  175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F5:AO5 AH13:AL13 AH20:AI20 AF6:AG20 AH8:AN12 AH14:AK17 AO8:AO17 AM13:AM16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O13:AP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" priority="6" operator="greaterThan">
      <formula>1</formula>
    </cfRule>
  </conditionalFormatting>
  <conditionalFormatting sqref="BI6:BP7 BI18:BP19 BI8:BI17 BJ8:BN12 BG5:BP5 BN13:BN17 BJ13:BM15 BG6:BH20 BO8:BP17 BO20:BP20 BM16:BM17 BM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8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176</v>
      </c>
      <c r="Z4" t="s">
        <v>5</v>
      </c>
      <c r="AB4" s="3">
        <v>177</v>
      </c>
      <c r="BA4" t="s">
        <v>5</v>
      </c>
      <c r="BC4" s="3">
        <v>178</v>
      </c>
      <c r="CB4" t="s">
        <v>5</v>
      </c>
    </row>
    <row r="5" spans="1:80">
      <c r="A5" s="3" t="s">
        <v>52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53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54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0x3C,</v>
      </c>
      <c r="C9" t="str">
        <f t="shared" si="1"/>
        <v>60,</v>
      </c>
      <c r="D9" t="str">
        <f t="shared" si="2"/>
        <v>00111100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0xFE,</v>
      </c>
      <c r="AD9" t="str">
        <f t="shared" si="7"/>
        <v>254,</v>
      </c>
      <c r="AE9" t="str">
        <f t="shared" si="8"/>
        <v>11111110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0xF8,</v>
      </c>
      <c r="BE9" t="str">
        <f t="shared" si="13"/>
        <v>248,</v>
      </c>
      <c r="BF9" t="str">
        <f t="shared" si="14"/>
        <v>11111000</v>
      </c>
      <c r="BG9">
        <v>1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0x7E,</v>
      </c>
      <c r="C10" t="str">
        <f t="shared" si="1"/>
        <v>126,</v>
      </c>
      <c r="D10" t="str">
        <f t="shared" si="2"/>
        <v>01111110</v>
      </c>
      <c r="E10">
        <v>0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0xFE,</v>
      </c>
      <c r="AD10" t="str">
        <f t="shared" si="7"/>
        <v>254,</v>
      </c>
      <c r="AE10" t="str">
        <f t="shared" si="8"/>
        <v>11111110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0xFC,</v>
      </c>
      <c r="BE10" t="str">
        <f t="shared" si="13"/>
        <v>252,</v>
      </c>
      <c r="BF10" t="str">
        <f t="shared" si="14"/>
        <v>11111100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0xC0,</v>
      </c>
      <c r="AD11" t="str">
        <f t="shared" si="7"/>
        <v>192,</v>
      </c>
      <c r="AE11" t="str">
        <f t="shared" si="8"/>
        <v>11000000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0xCE,</v>
      </c>
      <c r="BE11" t="str">
        <f t="shared" si="13"/>
        <v>206,</v>
      </c>
      <c r="BF11" t="str">
        <f t="shared" si="14"/>
        <v>11001110</v>
      </c>
      <c r="BG11">
        <v>1</v>
      </c>
      <c r="BH11">
        <v>1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0x86,</v>
      </c>
      <c r="C12" t="str">
        <f t="shared" si="1"/>
        <v>134,</v>
      </c>
      <c r="D12" t="str">
        <f t="shared" si="2"/>
        <v>10000110</v>
      </c>
      <c r="E12">
        <v>1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0xC0,</v>
      </c>
      <c r="AD12" t="str">
        <f t="shared" si="7"/>
        <v>192,</v>
      </c>
      <c r="AE12" t="str">
        <f t="shared" si="8"/>
        <v>11000000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0x06,</v>
      </c>
      <c r="C13" t="str">
        <f t="shared" si="1"/>
        <v>6,</v>
      </c>
      <c r="D13" t="str">
        <f t="shared" si="2"/>
        <v>00000110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0xF8,</v>
      </c>
      <c r="AD13" t="str">
        <f t="shared" si="7"/>
        <v>248,</v>
      </c>
      <c r="AE13" t="str">
        <f t="shared" si="8"/>
        <v>11111000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0xCC,</v>
      </c>
      <c r="BE13" t="str">
        <f t="shared" si="13"/>
        <v>204,</v>
      </c>
      <c r="BF13" t="str">
        <f t="shared" si="14"/>
        <v>11001100</v>
      </c>
      <c r="BG13">
        <v>1</v>
      </c>
      <c r="BH13">
        <v>1</v>
      </c>
      <c r="BI13">
        <v>0</v>
      </c>
      <c r="BJ13">
        <v>0</v>
      </c>
      <c r="BK13">
        <v>1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0x3E,</v>
      </c>
      <c r="C14" t="str">
        <f t="shared" si="1"/>
        <v>62,</v>
      </c>
      <c r="D14" t="str">
        <f t="shared" si="2"/>
        <v>00111110</v>
      </c>
      <c r="E14">
        <v>0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0xFC,</v>
      </c>
      <c r="AD14" t="str">
        <f t="shared" si="7"/>
        <v>252,</v>
      </c>
      <c r="AE14" t="str">
        <f t="shared" si="8"/>
        <v>11111100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0xF8,</v>
      </c>
      <c r="BE14" t="str">
        <f t="shared" si="13"/>
        <v>248,</v>
      </c>
      <c r="BF14" t="str">
        <f t="shared" si="14"/>
        <v>11111000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0x7E,</v>
      </c>
      <c r="C15" t="str">
        <f t="shared" si="1"/>
        <v>126,</v>
      </c>
      <c r="D15" t="str">
        <f t="shared" si="2"/>
        <v>01111110</v>
      </c>
      <c r="E15">
        <v>0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0xCE,</v>
      </c>
      <c r="AD15" t="str">
        <f t="shared" si="7"/>
        <v>206,</v>
      </c>
      <c r="AE15" t="str">
        <f t="shared" si="8"/>
        <v>11001110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0xFC,</v>
      </c>
      <c r="BE15" t="str">
        <f t="shared" si="13"/>
        <v>252,</v>
      </c>
      <c r="BF15" t="str">
        <f t="shared" si="14"/>
        <v>11111100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0xC6,</v>
      </c>
      <c r="AD16" t="str">
        <f t="shared" si="7"/>
        <v>198,</v>
      </c>
      <c r="AE16" t="str">
        <f t="shared" si="8"/>
        <v>11000110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0xCE,</v>
      </c>
      <c r="BE16" t="str">
        <f t="shared" si="13"/>
        <v>206,</v>
      </c>
      <c r="BF16" t="str">
        <f t="shared" si="14"/>
        <v>11001110</v>
      </c>
      <c r="BG16">
        <v>1</v>
      </c>
      <c r="BH16">
        <v>1</v>
      </c>
      <c r="BI16">
        <v>0</v>
      </c>
      <c r="BJ16">
        <v>0</v>
      </c>
      <c r="BK16">
        <v>1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0xE6,</v>
      </c>
      <c r="C18" t="str">
        <f t="shared" si="1"/>
        <v>230,</v>
      </c>
      <c r="D18" t="str">
        <f t="shared" si="2"/>
        <v>11100110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0x7E,</v>
      </c>
      <c r="C19" t="str">
        <f t="shared" si="1"/>
        <v>126,</v>
      </c>
      <c r="D19" t="str">
        <f t="shared" si="2"/>
        <v>01111110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0xFC,</v>
      </c>
      <c r="AD19" t="str">
        <f t="shared" si="7"/>
        <v>252,</v>
      </c>
      <c r="AE19" t="str">
        <f t="shared" si="8"/>
        <v>11111100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0xFE,</v>
      </c>
      <c r="BE19" t="str">
        <f t="shared" si="13"/>
        <v>254,</v>
      </c>
      <c r="BF19" t="str">
        <f t="shared" si="14"/>
        <v>11111110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0x3B,</v>
      </c>
      <c r="C20" t="str">
        <f t="shared" si="1"/>
        <v>59,</v>
      </c>
      <c r="D20" t="str">
        <f t="shared" si="2"/>
        <v>00111011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0x78,</v>
      </c>
      <c r="AD20" t="str">
        <f t="shared" si="7"/>
        <v>120,</v>
      </c>
      <c r="AE20" t="str">
        <f t="shared" si="8"/>
        <v>01111000</v>
      </c>
      <c r="AF20">
        <v>0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0xFC,</v>
      </c>
      <c r="BE20" t="str">
        <f t="shared" si="13"/>
        <v>252,</v>
      </c>
      <c r="BF20" t="str">
        <f t="shared" si="14"/>
        <v>11111100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8,0,0,0,0,0,0,0,0,60,0,126,0,198,0,134,0,6,0,62,0,126,0,198,0,198,0,230,0,126,0,59,0,     //  а     //  176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7,0,0,0,0,0,0,0,0,254,0,254,0,192,0,192,0,248,0,252,0,206,0,198,0,198,0,206,0,252,0,120,0,     //  б     //  177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7,0,0,0,0,0,0,0,0,248,0,252,0,206,0,198,0,204,0,248,0,252,0,206,0,198,0,206,0,254,0,252,0,     //  в     //  178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0x00, 0x00, 0x00, 0x00, 0x00, 0x00, 0x3C, 0x00, 0x7E, 0x00, 0xC6, 0x00, 0x86, 0x00, 0x06, 0x00, 0x3E, 0x00, 0x7E, 0x00, 0xC6, 0x00, 0xC6, 0x00, 0xE6, 0x00, 0x7E, 0x00, 0x3B, 0x00,     //  а     //  176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0xFE, 0x00, 0xFE, 0x00, 0xC0, 0x00, 0xC0, 0x00, 0xF8, 0x00, 0xFC, 0x00, 0xCE, 0x00, 0xC6, 0x00, 0xC6, 0x00, 0xCE, 0x00, 0xFC, 0x00, 0x78, 0x00,     //  б     //  177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0xF8, 0x00, 0xFC, 0x00, 0xCE, 0x00, 0xC6, 0x00, 0xCC, 0x00, 0xF8, 0x00, 0xFC, 0x00, 0xCE, 0x00, 0xC6, 0x00, 0xCE, 0x00, 0xFE, 0x00, 0xFC, 0x00,     //  в     //  178</v>
      </c>
    </row>
    <row r="28" spans="1:79">
      <c r="A28" s="1" t="str">
        <f>$B$24</f>
        <v>8,0,0,0,0,0,0,0,0,60,0,126,0,198,0,134,0,6,0,62,0,126,0,198,0,198,0,230,0,126,0,59,0,     //  а     //  176</v>
      </c>
      <c r="E28" t="s">
        <v>4</v>
      </c>
      <c r="AB28" s="1" t="str">
        <f>$AC$24</f>
        <v>7,0,0,0,0,0,0,0,0,254,0,254,0,192,0,192,0,248,0,252,0,206,0,198,0,198,0,206,0,252,0,120,0,     //  б     //  177</v>
      </c>
      <c r="AF28" t="s">
        <v>4</v>
      </c>
      <c r="BC28" s="1" t="str">
        <f>$BD$24</f>
        <v>7,0,0,0,0,0,0,0,0,248,0,252,0,206,0,198,0,204,0,248,0,252,0,206,0,198,0,206,0,254,0,252,0,     //  в     //  178</v>
      </c>
      <c r="BG28" t="s">
        <v>4</v>
      </c>
    </row>
    <row r="29" spans="1:79">
      <c r="A29" s="2" t="str">
        <f>$B$25</f>
        <v xml:space="preserve"> 0x08, 0x00, 0x00, 0x00, 0x00, 0x00, 0x00, 0x00, 0x00, 0x3C, 0x00, 0x7E, 0x00, 0xC6, 0x00, 0x86, 0x00, 0x06, 0x00, 0x3E, 0x00, 0x7E, 0x00, 0xC6, 0x00, 0xC6, 0x00, 0xE6, 0x00, 0x7E, 0x00, 0x3B, 0x00,     //  а     //  176</v>
      </c>
      <c r="E29" t="s">
        <v>3</v>
      </c>
      <c r="AB29" s="2" t="str">
        <f>$AC$25</f>
        <v xml:space="preserve"> 0x07, 0x00, 0x00, 0x00, 0x00, 0x00, 0x00, 0x00, 0x00, 0xFE, 0x00, 0xFE, 0x00, 0xC0, 0x00, 0xC0, 0x00, 0xF8, 0x00, 0xFC, 0x00, 0xCE, 0x00, 0xC6, 0x00, 0xC6, 0x00, 0xCE, 0x00, 0xFC, 0x00, 0x78, 0x00,     //  б     //  177</v>
      </c>
      <c r="AF29" t="s">
        <v>3</v>
      </c>
      <c r="BC29" s="2" t="str">
        <f>$BD$25</f>
        <v xml:space="preserve"> 0x07, 0x00, 0x00, 0x00, 0x00, 0x00, 0x00, 0x00, 0x00, 0xF8, 0x00, 0xFC, 0x00, 0xCE, 0x00, 0xC6, 0x00, 0xCC, 0x00, 0xF8, 0x00, 0xFC, 0x00, 0xCE, 0x00, 0xC6, 0x00, 0xCE, 0x00, 0xFE, 0x00, 0xFC, 0x00,     //  в     //  178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9"/>
  <dimension ref="A4:CB29"/>
  <sheetViews>
    <sheetView topLeftCell="Q2" workbookViewId="0">
      <selection activeCell="BW2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179</v>
      </c>
      <c r="Z4" t="s">
        <v>5</v>
      </c>
      <c r="AB4" s="3">
        <v>180</v>
      </c>
      <c r="BA4" t="s">
        <v>5</v>
      </c>
      <c r="BC4" s="3">
        <v>181</v>
      </c>
      <c r="CB4" t="s">
        <v>5</v>
      </c>
    </row>
    <row r="5" spans="1:80">
      <c r="A5" s="3" t="s">
        <v>55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56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0xFC,</v>
      </c>
      <c r="C9" t="str">
        <f t="shared" si="1"/>
        <v>252,</v>
      </c>
      <c r="D9" t="str">
        <f t="shared" si="2"/>
        <v>11111100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0x0E,</v>
      </c>
      <c r="AD9" t="str">
        <f t="shared" si="7"/>
        <v>14,</v>
      </c>
      <c r="AE9" t="str">
        <f t="shared" si="8"/>
        <v>00001110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0x38,</v>
      </c>
      <c r="BE9" t="str">
        <f t="shared" si="13"/>
        <v>56,</v>
      </c>
      <c r="BF9" t="str">
        <f t="shared" si="14"/>
        <v>00111000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0x1E,</v>
      </c>
      <c r="AD10" t="str">
        <f t="shared" si="7"/>
        <v>30,</v>
      </c>
      <c r="AE10" t="str">
        <f t="shared" si="8"/>
        <v>00011110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0x7C,</v>
      </c>
      <c r="BE10" t="str">
        <f t="shared" si="13"/>
        <v>124,</v>
      </c>
      <c r="BF10" t="str">
        <f t="shared" si="14"/>
        <v>01111100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0xFC,</v>
      </c>
      <c r="C11" t="str">
        <f t="shared" si="1"/>
        <v>252,</v>
      </c>
      <c r="D11" t="str">
        <f t="shared" si="2"/>
        <v>11111100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0x36,</v>
      </c>
      <c r="AD11" t="str">
        <f t="shared" si="7"/>
        <v>54,</v>
      </c>
      <c r="AE11" t="str">
        <f t="shared" si="8"/>
        <v>00110110</v>
      </c>
      <c r="AF11">
        <v>0</v>
      </c>
      <c r="AG11">
        <v>0</v>
      </c>
      <c r="AH11">
        <v>1</v>
      </c>
      <c r="AI11">
        <v>1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0xEE,</v>
      </c>
      <c r="BE11" t="str">
        <f t="shared" si="13"/>
        <v>238,</v>
      </c>
      <c r="BF11" t="str">
        <f t="shared" si="14"/>
        <v>11101110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0xC4,</v>
      </c>
      <c r="C12" t="str">
        <f t="shared" si="1"/>
        <v>196,</v>
      </c>
      <c r="D12" t="str">
        <f t="shared" si="2"/>
        <v>11000100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0x26,</v>
      </c>
      <c r="AD12" t="str">
        <f t="shared" si="7"/>
        <v>38,</v>
      </c>
      <c r="AE12" t="str">
        <f t="shared" si="8"/>
        <v>00100110</v>
      </c>
      <c r="AF12">
        <v>0</v>
      </c>
      <c r="AG12">
        <v>0</v>
      </c>
      <c r="AH12">
        <v>1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0xC0,</v>
      </c>
      <c r="C13" t="str">
        <f t="shared" si="1"/>
        <v>192,</v>
      </c>
      <c r="D13" t="str">
        <f t="shared" si="2"/>
        <v>11000000</v>
      </c>
      <c r="E13">
        <v>1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0x66,</v>
      </c>
      <c r="AD13" t="str">
        <f t="shared" si="7"/>
        <v>102,</v>
      </c>
      <c r="AE13" t="str">
        <f t="shared" si="8"/>
        <v>01100110</v>
      </c>
      <c r="AF13">
        <v>0</v>
      </c>
      <c r="AG13">
        <v>1</v>
      </c>
      <c r="AH13">
        <v>1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0xC0,</v>
      </c>
      <c r="C14" t="str">
        <f t="shared" si="1"/>
        <v>192,</v>
      </c>
      <c r="D14" t="str">
        <f t="shared" si="2"/>
        <v>11000000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0x66,</v>
      </c>
      <c r="AD14" t="str">
        <f t="shared" si="7"/>
        <v>102,</v>
      </c>
      <c r="AE14" t="str">
        <f t="shared" si="8"/>
        <v>01100110</v>
      </c>
      <c r="AF14">
        <v>0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0xFE,</v>
      </c>
      <c r="BE14" t="str">
        <f t="shared" si="13"/>
        <v>254,</v>
      </c>
      <c r="BF14" t="str">
        <f t="shared" si="14"/>
        <v>11111110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0x66,</v>
      </c>
      <c r="AD15" t="str">
        <f t="shared" si="7"/>
        <v>102,</v>
      </c>
      <c r="AE15" t="str">
        <f t="shared" si="8"/>
        <v>01100110</v>
      </c>
      <c r="AF15">
        <v>0</v>
      </c>
      <c r="AG15">
        <v>1</v>
      </c>
      <c r="AH15">
        <v>1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0xFE,</v>
      </c>
      <c r="BE15" t="str">
        <f t="shared" si="13"/>
        <v>254,</v>
      </c>
      <c r="BF15" t="str">
        <f t="shared" si="14"/>
        <v>11111110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0xC0,</v>
      </c>
      <c r="C16" t="str">
        <f t="shared" si="1"/>
        <v>192,</v>
      </c>
      <c r="D16" t="str">
        <f t="shared" si="2"/>
        <v>11000000</v>
      </c>
      <c r="E16">
        <v>1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0x66,</v>
      </c>
      <c r="AD16" t="str">
        <f t="shared" si="7"/>
        <v>102,</v>
      </c>
      <c r="AE16" t="str">
        <f t="shared" si="8"/>
        <v>01100110</v>
      </c>
      <c r="AF16">
        <v>0</v>
      </c>
      <c r="AG16">
        <v>1</v>
      </c>
      <c r="AH16">
        <v>1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0xC0,</v>
      </c>
      <c r="BE16" t="str">
        <f t="shared" si="13"/>
        <v>192,</v>
      </c>
      <c r="BF16" t="str">
        <f t="shared" si="14"/>
        <v>11000000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0xC0,</v>
      </c>
      <c r="C17" t="str">
        <f t="shared" si="1"/>
        <v>192,</v>
      </c>
      <c r="D17" t="str">
        <f t="shared" si="2"/>
        <v>11000000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0x66,</v>
      </c>
      <c r="AD17" t="str">
        <f t="shared" si="7"/>
        <v>102,</v>
      </c>
      <c r="AE17" t="str">
        <f t="shared" si="8"/>
        <v>01100110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0xC0,</v>
      </c>
      <c r="BE17" t="str">
        <f t="shared" si="13"/>
        <v>192,</v>
      </c>
      <c r="BF17" t="str">
        <f t="shared" si="14"/>
        <v>11000000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0x7E,</v>
      </c>
      <c r="AD18" t="str">
        <f t="shared" si="7"/>
        <v>126,</v>
      </c>
      <c r="AE18" t="str">
        <f t="shared" si="8"/>
        <v>01111110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0xE6,</v>
      </c>
      <c r="BE18" t="str">
        <f t="shared" si="13"/>
        <v>230,</v>
      </c>
      <c r="BF18" t="str">
        <f t="shared" si="14"/>
        <v>11100110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0xFF,</v>
      </c>
      <c r="AD19" t="str">
        <f t="shared" si="7"/>
        <v>255,</v>
      </c>
      <c r="AE19" t="str">
        <f t="shared" si="8"/>
        <v>11111111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0x7C,</v>
      </c>
      <c r="BE19" t="str">
        <f t="shared" si="13"/>
        <v>124,</v>
      </c>
      <c r="BF19" t="str">
        <f t="shared" si="14"/>
        <v>01111100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0xC3,</v>
      </c>
      <c r="AD20" t="str">
        <f t="shared" si="7"/>
        <v>195,</v>
      </c>
      <c r="AE20" t="str">
        <f t="shared" si="8"/>
        <v>11000011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6,</v>
      </c>
      <c r="V22" t="str">
        <f>Y20&amp;DEC2HEX(U22,2)&amp;X20</f>
        <v xml:space="preserve"> 0x06,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6,0,0,0,0,0,0,0,0,252,0,252,0,252,0,196,0,192,0,192,0,192,0,192,0,192,0,192,0,192,0,192,0,     //  г     //  179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8,0,0,0,0,0,0,0,0,14,0,30,0,54,0,38,0,102,0,102,0,102,0,102,0,102,0,126,0,255,0,195,0,     //  д     //  180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7,0,0,0,0,0,0,0,0,56,0,124,0,238,0,198,0,198,0,254,0,254,0,192,0,192,0,230,0,124,0,56,0,     //  е     //  181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0x06, 0x00, 0x00, 0x00, 0x00, 0x00, 0x00, 0x00, 0x00, 0xFC, 0x00, 0xFC, 0x00, 0xFC, 0x00, 0xC4, 0x00, 0xC0, 0x00, 0xC0, 0x00, 0xC0, 0x00, 0xC0, 0x00, 0xC0, 0x00, 0xC0, 0x00, 0xC0, 0x00, 0xC0, 0x00,     //  г     //  179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0x0E, 0x00, 0x1E, 0x00, 0x36, 0x00, 0x26, 0x00, 0x66, 0x00, 0x66, 0x00, 0x66, 0x00, 0x66, 0x00, 0x66, 0x00, 0x7E, 0x00, 0xFF, 0x00, 0xC3, 0x00,     //  д     //  180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0x38, 0x00, 0x7C, 0x00, 0xEE, 0x00, 0xC6, 0x00, 0xC6, 0x00, 0xFE, 0x00, 0xFE, 0x00, 0xC0, 0x00, 0xC0, 0x00, 0xE6, 0x00, 0x7C, 0x00, 0x38, 0x00,     //  е     //  181</v>
      </c>
    </row>
    <row r="28" spans="1:79">
      <c r="A28" s="1" t="str">
        <f>$B$24</f>
        <v>6,0,0,0,0,0,0,0,0,252,0,252,0,252,0,196,0,192,0,192,0,192,0,192,0,192,0,192,0,192,0,192,0,     //  г     //  179</v>
      </c>
      <c r="E28" t="s">
        <v>4</v>
      </c>
      <c r="AB28" s="1" t="str">
        <f>$AC$24</f>
        <v>8,0,0,0,0,0,0,0,0,14,0,30,0,54,0,38,0,102,0,102,0,102,0,102,0,102,0,126,0,255,0,195,0,     //  д     //  180</v>
      </c>
      <c r="AF28" t="s">
        <v>4</v>
      </c>
      <c r="BC28" s="1" t="str">
        <f>$BD$24</f>
        <v>7,0,0,0,0,0,0,0,0,56,0,124,0,238,0,198,0,198,0,254,0,254,0,192,0,192,0,230,0,124,0,56,0,     //  е     //  181</v>
      </c>
      <c r="BG28" t="s">
        <v>4</v>
      </c>
    </row>
    <row r="29" spans="1:79">
      <c r="A29" s="2" t="str">
        <f>$B$25</f>
        <v xml:space="preserve"> 0x06, 0x00, 0x00, 0x00, 0x00, 0x00, 0x00, 0x00, 0x00, 0xFC, 0x00, 0xFC, 0x00, 0xFC, 0x00, 0xC4, 0x00, 0xC0, 0x00, 0xC0, 0x00, 0xC0, 0x00, 0xC0, 0x00, 0xC0, 0x00, 0xC0, 0x00, 0xC0, 0x00, 0xC0, 0x00,     //  г     //  179</v>
      </c>
      <c r="E29" t="s">
        <v>3</v>
      </c>
      <c r="AB29" s="2" t="str">
        <f>$AC$25</f>
        <v xml:space="preserve"> 0x08, 0x00, 0x00, 0x00, 0x00, 0x00, 0x00, 0x00, 0x00, 0x0E, 0x00, 0x1E, 0x00, 0x36, 0x00, 0x26, 0x00, 0x66, 0x00, 0x66, 0x00, 0x66, 0x00, 0x66, 0x00, 0x66, 0x00, 0x7E, 0x00, 0xFF, 0x00, 0xC3, 0x00,     //  д     //  180</v>
      </c>
      <c r="AF29" t="s">
        <v>3</v>
      </c>
      <c r="BC29" s="2" t="str">
        <f>$BD$25</f>
        <v xml:space="preserve"> 0x07, 0x00, 0x00, 0x00, 0x00, 0x00, 0x00, 0x00, 0x00, 0x38, 0x00, 0x7C, 0x00, 0xEE, 0x00, 0xC6, 0x00, 0xC6, 0x00, 0xFE, 0x00, 0xFE, 0x00, 0xC0, 0x00, 0xC0, 0x00, 0xE6, 0x00, 0x7C, 0x00, 0x38, 0x00,     //  е     //  181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0"/>
  <dimension ref="A4:CB29"/>
  <sheetViews>
    <sheetView tabSelected="1" topLeftCell="Q1" workbookViewId="0">
      <selection activeCell="BU28" sqref="BU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182</v>
      </c>
      <c r="Z4" t="s">
        <v>5</v>
      </c>
      <c r="AB4" s="3">
        <v>183</v>
      </c>
      <c r="BA4" t="s">
        <v>5</v>
      </c>
      <c r="BC4" s="3">
        <v>184</v>
      </c>
      <c r="CB4" t="s">
        <v>5</v>
      </c>
    </row>
    <row r="5" spans="1:80">
      <c r="A5" s="3" t="s">
        <v>58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59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0xCC,</v>
      </c>
      <c r="C9" t="str">
        <f t="shared" si="1"/>
        <v>204,</v>
      </c>
      <c r="D9" t="str">
        <f t="shared" si="2"/>
        <v>11001100</v>
      </c>
      <c r="E9">
        <v>1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0xCC,</v>
      </c>
      <c r="C10" t="str">
        <f t="shared" si="1"/>
        <v>204,</v>
      </c>
      <c r="D10" t="str">
        <f t="shared" si="2"/>
        <v>11001100</v>
      </c>
      <c r="E10">
        <v>1</v>
      </c>
      <c r="F10">
        <v>1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0x7C,</v>
      </c>
      <c r="AD10" t="str">
        <f t="shared" si="7"/>
        <v>124,</v>
      </c>
      <c r="AE10" t="str">
        <f t="shared" si="8"/>
        <v>01111100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0xCC,</v>
      </c>
      <c r="C11" t="str">
        <f t="shared" si="1"/>
        <v>204,</v>
      </c>
      <c r="D11" t="str">
        <f t="shared" si="2"/>
        <v>11001100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0xCE,</v>
      </c>
      <c r="AD11" t="str">
        <f t="shared" si="7"/>
        <v>206,</v>
      </c>
      <c r="AE11" t="str">
        <f t="shared" si="8"/>
        <v>11001110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0xCC,</v>
      </c>
      <c r="C12" t="str">
        <f t="shared" si="1"/>
        <v>204,</v>
      </c>
      <c r="D12" t="str">
        <f t="shared" si="2"/>
        <v>11001100</v>
      </c>
      <c r="E12">
        <v>1</v>
      </c>
      <c r="F12">
        <v>1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0x6D,</v>
      </c>
      <c r="C13" t="str">
        <f t="shared" si="1"/>
        <v>109,</v>
      </c>
      <c r="D13" t="str">
        <f t="shared" si="2"/>
        <v>01101101</v>
      </c>
      <c r="E13">
        <v>0</v>
      </c>
      <c r="F13">
        <v>1</v>
      </c>
      <c r="G13">
        <v>1</v>
      </c>
      <c r="H13">
        <v>0</v>
      </c>
      <c r="I13">
        <v>1</v>
      </c>
      <c r="J13">
        <v>1</v>
      </c>
      <c r="K13">
        <v>0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10000000</v>
      </c>
      <c r="V13" t="str">
        <f t="shared" si="4"/>
        <v>128,</v>
      </c>
      <c r="W13" t="str">
        <f t="shared" si="5"/>
        <v xml:space="preserve"> 0x80,</v>
      </c>
      <c r="X13" t="s">
        <v>0</v>
      </c>
      <c r="Y13" t="s">
        <v>1</v>
      </c>
      <c r="AC13" t="str">
        <f t="shared" si="6"/>
        <v xml:space="preserve"> 0x0C,</v>
      </c>
      <c r="AD13" t="str">
        <f t="shared" si="7"/>
        <v>12,</v>
      </c>
      <c r="AE13" t="str">
        <f t="shared" si="8"/>
        <v>00001100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0x3F,</v>
      </c>
      <c r="C14" t="str">
        <f t="shared" si="1"/>
        <v>63,</v>
      </c>
      <c r="D14" t="str">
        <f t="shared" si="2"/>
        <v>00111111</v>
      </c>
      <c r="E14">
        <v>0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0x18,</v>
      </c>
      <c r="AD14" t="str">
        <f t="shared" si="7"/>
        <v>24,</v>
      </c>
      <c r="AE14" t="str">
        <f t="shared" si="8"/>
        <v>00011000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0xCE,</v>
      </c>
      <c r="BE14" t="str">
        <f t="shared" si="13"/>
        <v>206,</v>
      </c>
      <c r="BF14" t="str">
        <f t="shared" si="14"/>
        <v>11001110</v>
      </c>
      <c r="BG14">
        <v>1</v>
      </c>
      <c r="BH14">
        <v>1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0x1E,</v>
      </c>
      <c r="C15" t="str">
        <f t="shared" si="1"/>
        <v>30,</v>
      </c>
      <c r="D15" t="str">
        <f t="shared" si="2"/>
        <v>00011110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0x1C,</v>
      </c>
      <c r="AD15" t="str">
        <f t="shared" si="7"/>
        <v>28,</v>
      </c>
      <c r="AE15" t="str">
        <f t="shared" si="8"/>
        <v>00011100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0xCE,</v>
      </c>
      <c r="BE15" t="str">
        <f t="shared" si="13"/>
        <v>206,</v>
      </c>
      <c r="BF15" t="str">
        <f t="shared" si="14"/>
        <v>11001110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0x3F,</v>
      </c>
      <c r="C16" t="str">
        <f t="shared" si="1"/>
        <v>63,</v>
      </c>
      <c r="D16" t="str">
        <f t="shared" si="2"/>
        <v>00111111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0x06,</v>
      </c>
      <c r="AD16" t="str">
        <f t="shared" si="7"/>
        <v>6,</v>
      </c>
      <c r="AE16" t="str">
        <f t="shared" si="8"/>
        <v>00000110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0xD6,</v>
      </c>
      <c r="BE16" t="str">
        <f t="shared" si="13"/>
        <v>214,</v>
      </c>
      <c r="BF16" t="str">
        <f t="shared" si="14"/>
        <v>11010110</v>
      </c>
      <c r="BG16">
        <v>1</v>
      </c>
      <c r="BH16">
        <v>1</v>
      </c>
      <c r="BI16">
        <v>0</v>
      </c>
      <c r="BJ16">
        <v>1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0x6D,</v>
      </c>
      <c r="C17" t="str">
        <f t="shared" si="1"/>
        <v>109,</v>
      </c>
      <c r="D17" t="str">
        <f t="shared" si="2"/>
        <v>01101101</v>
      </c>
      <c r="E17">
        <v>0</v>
      </c>
      <c r="F17">
        <v>1</v>
      </c>
      <c r="G17">
        <v>1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10000000</v>
      </c>
      <c r="V17" t="str">
        <f t="shared" si="4"/>
        <v>128,</v>
      </c>
      <c r="W17" t="str">
        <f t="shared" si="5"/>
        <v xml:space="preserve"> 0x80,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0xD6,</v>
      </c>
      <c r="BE17" t="str">
        <f t="shared" si="13"/>
        <v>214,</v>
      </c>
      <c r="BF17" t="str">
        <f t="shared" si="14"/>
        <v>11010110</v>
      </c>
      <c r="BG17">
        <v>1</v>
      </c>
      <c r="BH17">
        <v>1</v>
      </c>
      <c r="BI17">
        <v>0</v>
      </c>
      <c r="BJ17">
        <v>1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0xCC,</v>
      </c>
      <c r="C18" t="str">
        <f t="shared" si="1"/>
        <v>204,</v>
      </c>
      <c r="D18" t="str">
        <f t="shared" si="2"/>
        <v>11001100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0xE6,</v>
      </c>
      <c r="BE18" t="str">
        <f t="shared" si="13"/>
        <v>230,</v>
      </c>
      <c r="BF18" t="str">
        <f t="shared" si="14"/>
        <v>11100110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0xCC,</v>
      </c>
      <c r="C19" t="str">
        <f t="shared" si="1"/>
        <v>204,</v>
      </c>
      <c r="D19" t="str">
        <f t="shared" si="2"/>
        <v>11001100</v>
      </c>
      <c r="E19">
        <v>1</v>
      </c>
      <c r="F19">
        <v>1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0x7C,</v>
      </c>
      <c r="AD19" t="str">
        <f t="shared" si="7"/>
        <v>124,</v>
      </c>
      <c r="AE19" t="str">
        <f t="shared" si="8"/>
        <v>01111100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0xE6,</v>
      </c>
      <c r="BE19" t="str">
        <f t="shared" si="13"/>
        <v>230,</v>
      </c>
      <c r="BF19" t="str">
        <f t="shared" si="14"/>
        <v>11100110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0xCC,</v>
      </c>
      <c r="C20" t="str">
        <f t="shared" si="1"/>
        <v>204,</v>
      </c>
      <c r="D20" t="str">
        <f t="shared" si="2"/>
        <v>11001100</v>
      </c>
      <c r="E20">
        <v>1</v>
      </c>
      <c r="F20">
        <v>1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10,0,0,0,0,0,0,0,0,204,192,204,192,204,192,204,192,109,128,63,0,30,0,63,0,109,128,204,192,204,192,204,192,     //  ж     //  182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7,0,0,0,0,0,0,0,0,56,0,124,0,206,0,198,0,12,0,24,0,28,0,6,0,198,0,206,0,124,0,56,0,     //  з     //  183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7,0,0,0,0,0,0,0,0,198,0,198,0,198,0,198,0,198,0,206,0,206,0,214,0,214,0,230,0,230,0,198,0,     //  и     //  184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0xCC, 0xC0, 0xCC, 0xC0, 0xCC, 0xC0, 0xCC, 0xC0, 0x6D, 0x80, 0x3F, 0x00, 0x1E, 0x00, 0x3F, 0x00, 0x6D, 0x80, 0xCC, 0xC0, 0xCC, 0xC0, 0xCC, 0xC0,     //  ж     //  182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0x38, 0x00, 0x7C, 0x00, 0xCE, 0x00, 0xC6, 0x00, 0x0C, 0x00, 0x18, 0x00, 0x1C, 0x00, 0x06, 0x00, 0xC6, 0x00, 0xCE, 0x00, 0x7C, 0x00, 0x38, 0x00,     //  з     //  183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0xC6, 0x00, 0xC6, 0x00, 0xC6, 0x00, 0xC6, 0x00, 0xC6, 0x00, 0xCE, 0x00, 0xCE, 0x00, 0xD6, 0x00, 0xD6, 0x00, 0xE6, 0x00, 0xE6, 0x00, 0xC6, 0x00,     //  и     //  184</v>
      </c>
    </row>
    <row r="28" spans="1:79">
      <c r="A28" s="1" t="str">
        <f>$B$24</f>
        <v>10,0,0,0,0,0,0,0,0,204,192,204,192,204,192,204,192,109,128,63,0,30,0,63,0,109,128,204,192,204,192,204,192,     //  ж     //  182</v>
      </c>
      <c r="E28" t="s">
        <v>4</v>
      </c>
      <c r="AB28" s="1" t="str">
        <f>$AC$24</f>
        <v>7,0,0,0,0,0,0,0,0,56,0,124,0,206,0,198,0,12,0,24,0,28,0,6,0,198,0,206,0,124,0,56,0,     //  з     //  183</v>
      </c>
      <c r="AF28" t="s">
        <v>4</v>
      </c>
      <c r="BC28" s="1" t="str">
        <f>$BD$24</f>
        <v>7,0,0,0,0,0,0,0,0,198,0,198,0,198,0,198,0,198,0,206,0,206,0,214,0,214,0,230,0,230,0,198,0,     //  и     //  184</v>
      </c>
      <c r="BG28" t="s">
        <v>4</v>
      </c>
    </row>
    <row r="29" spans="1:79">
      <c r="A29" s="2" t="str">
        <f>$B$25</f>
        <v xml:space="preserve"> 0x0A, 0x00, 0x00, 0x00, 0x00, 0x00, 0x00, 0x00, 0x00, 0xCC, 0xC0, 0xCC, 0xC0, 0xCC, 0xC0, 0xCC, 0xC0, 0x6D, 0x80, 0x3F, 0x00, 0x1E, 0x00, 0x3F, 0x00, 0x6D, 0x80, 0xCC, 0xC0, 0xCC, 0xC0, 0xCC, 0xC0,     //  ж     //  182</v>
      </c>
      <c r="E29" t="s">
        <v>3</v>
      </c>
      <c r="AB29" s="2" t="str">
        <f>$AC$25</f>
        <v xml:space="preserve"> 0x07, 0x00, 0x00, 0x00, 0x00, 0x00, 0x00, 0x00, 0x00, 0x38, 0x00, 0x7C, 0x00, 0xCE, 0x00, 0xC6, 0x00, 0x0C, 0x00, 0x18, 0x00, 0x1C, 0x00, 0x06, 0x00, 0xC6, 0x00, 0xCE, 0x00, 0x7C, 0x00, 0x38, 0x00,     //  з     //  183</v>
      </c>
      <c r="AF29" t="s">
        <v>3</v>
      </c>
      <c r="BC29" s="2" t="str">
        <f>$BD$25</f>
        <v xml:space="preserve"> 0x07, 0x00, 0x00, 0x00, 0x00, 0x00, 0x00, 0x00, 0x00, 0xC6, 0x00, 0xC6, 0x00, 0xC6, 0x00, 0xC6, 0x00, 0xC6, 0x00, 0xCE, 0x00, 0xCE, 0x00, 0xD6, 0x00, 0xD6, 0x00, 0xE6, 0x00, 0xE6, 0x00, 0xC6, 0x00,     //  и     //  184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1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185</v>
      </c>
      <c r="Z4" t="s">
        <v>5</v>
      </c>
      <c r="AB4" s="3">
        <v>186</v>
      </c>
      <c r="BA4" t="s">
        <v>5</v>
      </c>
      <c r="BC4" s="3">
        <v>187</v>
      </c>
      <c r="CB4" t="s">
        <v>5</v>
      </c>
    </row>
    <row r="5" spans="1:80">
      <c r="A5" s="3" t="s">
        <v>61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63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0x06,</v>
      </c>
      <c r="BE9" t="str">
        <f t="shared" si="13"/>
        <v>6,</v>
      </c>
      <c r="BF9" t="str">
        <f t="shared" si="14"/>
        <v>00000110</v>
      </c>
      <c r="BG9">
        <v>0</v>
      </c>
      <c r="BH9">
        <v>0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0x06,</v>
      </c>
      <c r="BE10" t="str">
        <f t="shared" si="13"/>
        <v>6,</v>
      </c>
      <c r="BF10" t="str">
        <f t="shared" si="14"/>
        <v>00000110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0xCC,</v>
      </c>
      <c r="AD12" t="str">
        <f t="shared" si="7"/>
        <v>204,</v>
      </c>
      <c r="AE12" t="str">
        <f t="shared" si="8"/>
        <v>11001100</v>
      </c>
      <c r="AF12">
        <v>1</v>
      </c>
      <c r="AG12">
        <v>1</v>
      </c>
      <c r="AH12">
        <v>0</v>
      </c>
      <c r="AI12">
        <v>0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0x0E,</v>
      </c>
      <c r="BE12" t="str">
        <f t="shared" si="13"/>
        <v>14,</v>
      </c>
      <c r="BF12" t="str">
        <f t="shared" si="14"/>
        <v>00001110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0xD8,</v>
      </c>
      <c r="AD13" t="str">
        <f t="shared" si="7"/>
        <v>216,</v>
      </c>
      <c r="AE13" t="str">
        <f t="shared" si="8"/>
        <v>11011000</v>
      </c>
      <c r="AF13">
        <v>1</v>
      </c>
      <c r="AG13">
        <v>1</v>
      </c>
      <c r="AH13">
        <v>0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0x1E,</v>
      </c>
      <c r="BE13" t="str">
        <f t="shared" si="13"/>
        <v>30,</v>
      </c>
      <c r="BF13" t="str">
        <f t="shared" si="14"/>
        <v>00011110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0xCE,</v>
      </c>
      <c r="C14" t="str">
        <f t="shared" si="1"/>
        <v>206,</v>
      </c>
      <c r="D14" t="str">
        <f t="shared" si="2"/>
        <v>11001110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0xF0,</v>
      </c>
      <c r="AD14" t="str">
        <f t="shared" si="7"/>
        <v>240,</v>
      </c>
      <c r="AE14" t="str">
        <f t="shared" si="8"/>
        <v>11110000</v>
      </c>
      <c r="AF14">
        <v>1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0x16,</v>
      </c>
      <c r="BE14" t="str">
        <f t="shared" si="13"/>
        <v>22,</v>
      </c>
      <c r="BF14" t="str">
        <f t="shared" si="14"/>
        <v>00010110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0xF0,</v>
      </c>
      <c r="AD15" t="str">
        <f t="shared" si="7"/>
        <v>240,</v>
      </c>
      <c r="AE15" t="str">
        <f t="shared" si="8"/>
        <v>11110000</v>
      </c>
      <c r="AF15">
        <v>1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0x36,</v>
      </c>
      <c r="BE15" t="str">
        <f t="shared" si="13"/>
        <v>54,</v>
      </c>
      <c r="BF15" t="str">
        <f t="shared" si="14"/>
        <v>00110110</v>
      </c>
      <c r="BG15">
        <v>0</v>
      </c>
      <c r="BH15">
        <v>0</v>
      </c>
      <c r="BI15">
        <v>1</v>
      </c>
      <c r="BJ15">
        <v>1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0xD6,</v>
      </c>
      <c r="C16" t="str">
        <f t="shared" si="1"/>
        <v>214,</v>
      </c>
      <c r="D16" t="str">
        <f t="shared" si="2"/>
        <v>11010110</v>
      </c>
      <c r="E16">
        <v>1</v>
      </c>
      <c r="F16">
        <v>1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0xD8,</v>
      </c>
      <c r="AD16" t="str">
        <f t="shared" si="7"/>
        <v>216,</v>
      </c>
      <c r="AE16" t="str">
        <f t="shared" si="8"/>
        <v>11011000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0x26,</v>
      </c>
      <c r="BE16" t="str">
        <f t="shared" si="13"/>
        <v>38,</v>
      </c>
      <c r="BF16" t="str">
        <f t="shared" si="14"/>
        <v>00100110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0xD6,</v>
      </c>
      <c r="C17" t="str">
        <f t="shared" si="1"/>
        <v>214,</v>
      </c>
      <c r="D17" t="str">
        <f t="shared" si="2"/>
        <v>11010110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0xCC,</v>
      </c>
      <c r="AD17" t="str">
        <f t="shared" si="7"/>
        <v>204,</v>
      </c>
      <c r="AE17" t="str">
        <f t="shared" si="8"/>
        <v>11001100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0xE6,</v>
      </c>
      <c r="C18" t="str">
        <f t="shared" si="1"/>
        <v>230,</v>
      </c>
      <c r="D18" t="str">
        <f t="shared" si="2"/>
        <v>11100110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0x46,</v>
      </c>
      <c r="BE18" t="str">
        <f t="shared" si="13"/>
        <v>70,</v>
      </c>
      <c r="BF18" t="str">
        <f t="shared" si="14"/>
        <v>01000110</v>
      </c>
      <c r="BG18">
        <v>0</v>
      </c>
      <c r="BH18">
        <v>1</v>
      </c>
      <c r="BI18">
        <v>0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0xE6,</v>
      </c>
      <c r="C19" t="str">
        <f t="shared" si="1"/>
        <v>230,</v>
      </c>
      <c r="D19" t="str">
        <f t="shared" si="2"/>
        <v>11100110</v>
      </c>
      <c r="E19">
        <v>1</v>
      </c>
      <c r="F19">
        <v>1</v>
      </c>
      <c r="G19">
        <v>1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0xC6,</v>
      </c>
      <c r="BE19" t="str">
        <f t="shared" si="13"/>
        <v>198,</v>
      </c>
      <c r="BF19" t="str">
        <f t="shared" si="14"/>
        <v>11000110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7,0,0,0,0,0,0,0,0,56,0,0,0,198,0,198,0,198,0,206,0,206,0,214,0,214,0,230,0,230,0,198,0,     //  й     //  185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7,0,0,0,0,0,0,0,0,198,0,198,0,198,0,204,0,216,0,240,0,240,0,216,0,204,0,198,0,198,0,198,0,     //  к     //  186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7,0,0,0,0,0,0,0,0,6,0,6,0,14,0,14,0,30,0,22,0,54,0,38,0,102,0,70,0,198,0,198,0,     //  л     //  187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0x38, 0x00, 0x00, 0x00, 0xC6, 0x00, 0xC6, 0x00, 0xC6, 0x00, 0xCE, 0x00, 0xCE, 0x00, 0xD6, 0x00, 0xD6, 0x00, 0xE6, 0x00, 0xE6, 0x00, 0xC6, 0x00,     //  й     //  185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0xCC, 0x00, 0xD8, 0x00, 0xF0, 0x00, 0xF0, 0x00, 0xD8, 0x00, 0xCC, 0x00, 0xC6, 0x00, 0xC6, 0x00, 0xC6, 0x00,     //  к     //  186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0x06, 0x00, 0x06, 0x00, 0x0E, 0x00, 0x0E, 0x00, 0x1E, 0x00, 0x16, 0x00, 0x36, 0x00, 0x26, 0x00, 0x66, 0x00, 0x46, 0x00, 0xC6, 0x00, 0xC6, 0x00,     //  л     //  187</v>
      </c>
    </row>
    <row r="28" spans="1:79">
      <c r="A28" s="1" t="str">
        <f>$B$24</f>
        <v>7,0,0,0,0,0,0,0,0,56,0,0,0,198,0,198,0,198,0,206,0,206,0,214,0,214,0,230,0,230,0,198,0,     //  й     //  185</v>
      </c>
      <c r="E28" t="s">
        <v>4</v>
      </c>
      <c r="AB28" s="1" t="str">
        <f>$AC$24</f>
        <v>7,0,0,0,0,0,0,0,0,198,0,198,0,198,0,204,0,216,0,240,0,240,0,216,0,204,0,198,0,198,0,198,0,     //  к     //  186</v>
      </c>
      <c r="AF28" t="s">
        <v>4</v>
      </c>
      <c r="BC28" s="1" t="str">
        <f>$BD$24</f>
        <v>7,0,0,0,0,0,0,0,0,6,0,6,0,14,0,14,0,30,0,22,0,54,0,38,0,102,0,70,0,198,0,198,0,     //  л     //  187</v>
      </c>
      <c r="BG28" t="s">
        <v>4</v>
      </c>
    </row>
    <row r="29" spans="1:79">
      <c r="A29" s="2" t="str">
        <f>$B$25</f>
        <v xml:space="preserve"> 0x07, 0x00, 0x00, 0x00, 0x00, 0x00, 0x00, 0x00, 0x00, 0x38, 0x00, 0x00, 0x00, 0xC6, 0x00, 0xC6, 0x00, 0xC6, 0x00, 0xCE, 0x00, 0xCE, 0x00, 0xD6, 0x00, 0xD6, 0x00, 0xE6, 0x00, 0xE6, 0x00, 0xC6, 0x00,     //  й     //  185</v>
      </c>
      <c r="E29" t="s">
        <v>3</v>
      </c>
      <c r="AB29" s="2" t="str">
        <f>$AC$25</f>
        <v xml:space="preserve"> 0x07, 0x00, 0x00, 0x00, 0x00, 0x00, 0x00, 0x00, 0x00, 0xC6, 0x00, 0xC6, 0x00, 0xC6, 0x00, 0xCC, 0x00, 0xD8, 0x00, 0xF0, 0x00, 0xF0, 0x00, 0xD8, 0x00, 0xCC, 0x00, 0xC6, 0x00, 0xC6, 0x00, 0xC6, 0x00,     //  к     //  186</v>
      </c>
      <c r="AF29" t="s">
        <v>3</v>
      </c>
      <c r="BC29" s="2" t="str">
        <f>$BD$25</f>
        <v xml:space="preserve"> 0x07, 0x00, 0x00, 0x00, 0x00, 0x00, 0x00, 0x00, 0x00, 0x06, 0x00, 0x06, 0x00, 0x0E, 0x00, 0x0E, 0x00, 0x1E, 0x00, 0x16, 0x00, 0x36, 0x00, 0x26, 0x00, 0x66, 0x00, 0x46, 0x00, 0xC6, 0x00, 0xC6, 0x00,     //  л     //  187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2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188</v>
      </c>
      <c r="Z4" t="s">
        <v>5</v>
      </c>
      <c r="AB4" s="3">
        <v>189</v>
      </c>
      <c r="BA4" t="s">
        <v>5</v>
      </c>
      <c r="BC4" s="3">
        <v>190</v>
      </c>
      <c r="CB4" t="s">
        <v>5</v>
      </c>
    </row>
    <row r="5" spans="1:80">
      <c r="A5" s="3" t="s">
        <v>64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65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66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0x38,</v>
      </c>
      <c r="BE9" t="str">
        <f t="shared" si="13"/>
        <v>56,</v>
      </c>
      <c r="BF9" t="str">
        <f t="shared" si="14"/>
        <v>00111000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0x7C,</v>
      </c>
      <c r="BE10" t="str">
        <f t="shared" si="13"/>
        <v>124,</v>
      </c>
      <c r="BF10" t="str">
        <f t="shared" si="14"/>
        <v>01111100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0xE1,</v>
      </c>
      <c r="C11" t="str">
        <f t="shared" si="1"/>
        <v>225,</v>
      </c>
      <c r="D11" t="str">
        <f t="shared" si="2"/>
        <v>11100001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0xEE,</v>
      </c>
      <c r="BE11" t="str">
        <f t="shared" si="13"/>
        <v>238,</v>
      </c>
      <c r="BF11" t="str">
        <f t="shared" si="14"/>
        <v>11101110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0xF3,</v>
      </c>
      <c r="C13" t="str">
        <f t="shared" si="1"/>
        <v>243,</v>
      </c>
      <c r="D13" t="str">
        <f t="shared" si="2"/>
        <v>11110011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1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0xD2,</v>
      </c>
      <c r="C14" t="str">
        <f t="shared" si="1"/>
        <v>210,</v>
      </c>
      <c r="D14" t="str">
        <f t="shared" si="2"/>
        <v>11010010</v>
      </c>
      <c r="E14">
        <v>1</v>
      </c>
      <c r="F14">
        <v>1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0xDE,</v>
      </c>
      <c r="C15" t="str">
        <f t="shared" si="1"/>
        <v>222,</v>
      </c>
      <c r="D15" t="str">
        <f t="shared" si="2"/>
        <v>11011110</v>
      </c>
      <c r="E15">
        <v>1</v>
      </c>
      <c r="F15">
        <v>1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0xFE,</v>
      </c>
      <c r="AD15" t="str">
        <f t="shared" si="7"/>
        <v>254,</v>
      </c>
      <c r="AE15" t="str">
        <f t="shared" si="8"/>
        <v>11111110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0xCC,</v>
      </c>
      <c r="C16" t="str">
        <f t="shared" si="1"/>
        <v>204,</v>
      </c>
      <c r="D16" t="str">
        <f t="shared" si="2"/>
        <v>11001100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0xFE,</v>
      </c>
      <c r="AD16" t="str">
        <f t="shared" si="7"/>
        <v>254,</v>
      </c>
      <c r="AE16" t="str">
        <f t="shared" si="8"/>
        <v>11111110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0xCC,</v>
      </c>
      <c r="C17" t="str">
        <f t="shared" si="1"/>
        <v>204,</v>
      </c>
      <c r="D17" t="str">
        <f t="shared" si="2"/>
        <v>11001100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0xEE,</v>
      </c>
      <c r="BE18" t="str">
        <f t="shared" si="13"/>
        <v>238,</v>
      </c>
      <c r="BF18" t="str">
        <f t="shared" si="14"/>
        <v>11101110</v>
      </c>
      <c r="BG18">
        <v>1</v>
      </c>
      <c r="BH18">
        <v>1</v>
      </c>
      <c r="BI18">
        <v>1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0x7C,</v>
      </c>
      <c r="BE19" t="str">
        <f t="shared" si="13"/>
        <v>124,</v>
      </c>
      <c r="BF19" t="str">
        <f t="shared" si="14"/>
        <v>01111100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10,0,0,0,0,0,0,0,0,192,192,192,192,225,192,225,192,243,192,210,192,222,192,204,192,204,192,192,192,192,192,192,192,     //  м     //  188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7,0,0,0,0,0,0,0,0,198,0,198,0,198,0,198,0,198,0,198,0,254,0,254,0,198,0,198,0,198,0,198,0,     //  н     //  189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7,0,0,0,0,0,0,0,0,56,0,124,0,238,0,198,0,198,0,198,0,198,0,198,0,198,0,238,0,124,0,56,0,     //  о     //  190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0xC0, 0xC0, 0xC0, 0xC0, 0xE1, 0xC0, 0xE1, 0xC0, 0xF3, 0xC0, 0xD2, 0xC0, 0xDE, 0xC0, 0xCC, 0xC0, 0xCC, 0xC0, 0xC0, 0xC0, 0xC0, 0xC0, 0xC0, 0xC0,     //  м     //  188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0xC6, 0x00, 0xC6, 0x00, 0xC6, 0x00, 0xFE, 0x00, 0xFE, 0x00, 0xC6, 0x00, 0xC6, 0x00, 0xC6, 0x00, 0xC6, 0x00,     //  н     //  189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0x38, 0x00, 0x7C, 0x00, 0xEE, 0x00, 0xC6, 0x00, 0xC6, 0x00, 0xC6, 0x00, 0xC6, 0x00, 0xC6, 0x00, 0xC6, 0x00, 0xEE, 0x00, 0x7C, 0x00, 0x38, 0x00,     //  о     //  190</v>
      </c>
    </row>
    <row r="28" spans="1:79">
      <c r="A28" s="1" t="str">
        <f>$B$24</f>
        <v>10,0,0,0,0,0,0,0,0,192,192,192,192,225,192,225,192,243,192,210,192,222,192,204,192,204,192,192,192,192,192,192,192,     //  м     //  188</v>
      </c>
      <c r="E28" t="s">
        <v>4</v>
      </c>
      <c r="AB28" s="1" t="str">
        <f>$AC$24</f>
        <v>7,0,0,0,0,0,0,0,0,198,0,198,0,198,0,198,0,198,0,198,0,254,0,254,0,198,0,198,0,198,0,198,0,     //  н     //  189</v>
      </c>
      <c r="AF28" t="s">
        <v>4</v>
      </c>
      <c r="BC28" s="1" t="str">
        <f>$BD$24</f>
        <v>7,0,0,0,0,0,0,0,0,56,0,124,0,238,0,198,0,198,0,198,0,198,0,198,0,198,0,238,0,124,0,56,0,     //  о     //  190</v>
      </c>
      <c r="BG28" t="s">
        <v>4</v>
      </c>
    </row>
    <row r="29" spans="1:79">
      <c r="A29" s="2" t="str">
        <f>$B$25</f>
        <v xml:space="preserve"> 0x0A, 0x00, 0x00, 0x00, 0x00, 0x00, 0x00, 0x00, 0x00, 0xC0, 0xC0, 0xC0, 0xC0, 0xE1, 0xC0, 0xE1, 0xC0, 0xF3, 0xC0, 0xD2, 0xC0, 0xDE, 0xC0, 0xCC, 0xC0, 0xCC, 0xC0, 0xC0, 0xC0, 0xC0, 0xC0, 0xC0, 0xC0,     //  м     //  188</v>
      </c>
      <c r="E29" t="s">
        <v>3</v>
      </c>
      <c r="AB29" s="2" t="str">
        <f>$AC$25</f>
        <v xml:space="preserve"> 0x07, 0x00, 0x00, 0x00, 0x00, 0x00, 0x00, 0x00, 0x00, 0xC6, 0x00, 0xC6, 0x00, 0xC6, 0x00, 0xC6, 0x00, 0xC6, 0x00, 0xC6, 0x00, 0xFE, 0x00, 0xFE, 0x00, 0xC6, 0x00, 0xC6, 0x00, 0xC6, 0x00, 0xC6, 0x00,     //  н     //  189</v>
      </c>
      <c r="AF29" t="s">
        <v>3</v>
      </c>
      <c r="BC29" s="2" t="str">
        <f>$BD$25</f>
        <v xml:space="preserve"> 0x07, 0x00, 0x00, 0x00, 0x00, 0x00, 0x00, 0x00, 0x00, 0x38, 0x00, 0x7C, 0x00, 0xEE, 0x00, 0xC6, 0x00, 0xC6, 0x00, 0xC6, 0x00, 0xC6, 0x00, 0xC6, 0x00, 0xC6, 0x00, 0xEE, 0x00, 0x7C, 0x00, 0x38, 0x00,     //  о     //  190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3"/>
  <dimension ref="A4:CB29"/>
  <sheetViews>
    <sheetView topLeftCell="Q1" workbookViewId="0">
      <selection activeCell="BW1" sqref="BW1:CB104857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191</v>
      </c>
      <c r="Z4" t="s">
        <v>5</v>
      </c>
      <c r="AB4" s="3" t="s">
        <v>67</v>
      </c>
      <c r="BA4" t="s">
        <v>5</v>
      </c>
      <c r="BC4" s="3" t="s">
        <v>67</v>
      </c>
      <c r="CB4" t="s">
        <v>5</v>
      </c>
    </row>
    <row r="5" spans="1:80">
      <c r="A5" s="3" t="s">
        <v>51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67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0x20,</v>
      </c>
      <c r="AD6" t="str">
        <f t="shared" ref="AD6:AD20" si="7">BA6&amp;BIN2DEC(AE6)&amp;AY6</f>
        <v>32,</v>
      </c>
      <c r="AE6" t="str">
        <f t="shared" ref="AE6:AE20" si="8">AF6&amp;AG6&amp;AH6&amp;AI6&amp;AJ6&amp;AK6&amp;AL6&amp;AM6</f>
        <v>00100000</v>
      </c>
      <c r="AF6">
        <v>0</v>
      </c>
      <c r="AG6">
        <v>0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0xFE,</v>
      </c>
      <c r="C9" t="str">
        <f t="shared" si="1"/>
        <v>254,</v>
      </c>
      <c r="D9" t="str">
        <f t="shared" si="2"/>
        <v>11111110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0x34,</v>
      </c>
      <c r="AD9" t="str">
        <f t="shared" si="7"/>
        <v>52,</v>
      </c>
      <c r="AE9" t="str">
        <f t="shared" si="8"/>
        <v>00110100</v>
      </c>
      <c r="AF9">
        <v>0</v>
      </c>
      <c r="AG9">
        <v>0</v>
      </c>
      <c r="AH9">
        <v>1</v>
      </c>
      <c r="AI9">
        <v>1</v>
      </c>
      <c r="AJ9">
        <v>0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0x78,</v>
      </c>
      <c r="BE9" t="str">
        <f t="shared" si="13"/>
        <v>120,</v>
      </c>
      <c r="BF9" t="str">
        <f t="shared" si="14"/>
        <v>01111000</v>
      </c>
      <c r="BG9">
        <v>0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0xFE,</v>
      </c>
      <c r="C10" t="str">
        <f t="shared" si="1"/>
        <v>254,</v>
      </c>
      <c r="D10" t="str">
        <f t="shared" si="2"/>
        <v>11111110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0xF2,</v>
      </c>
      <c r="AD10" t="str">
        <f t="shared" si="7"/>
        <v>242,</v>
      </c>
      <c r="AE10" t="str">
        <f t="shared" si="8"/>
        <v>11110010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0xF8,</v>
      </c>
      <c r="BE10" t="str">
        <f t="shared" si="13"/>
        <v>248,</v>
      </c>
      <c r="BF10" t="str">
        <f t="shared" si="14"/>
        <v>11111000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0xFE,</v>
      </c>
      <c r="C11" t="str">
        <f t="shared" si="1"/>
        <v>254,</v>
      </c>
      <c r="D11" t="str">
        <f t="shared" si="2"/>
        <v>11111110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0xF8,</v>
      </c>
      <c r="AD11" t="str">
        <f t="shared" si="7"/>
        <v>248,</v>
      </c>
      <c r="AE11" t="str">
        <f t="shared" si="8"/>
        <v>11111000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0xF8,</v>
      </c>
      <c r="BE11" t="str">
        <f t="shared" si="13"/>
        <v>248,</v>
      </c>
      <c r="BF11" t="str">
        <f t="shared" si="14"/>
        <v>11111000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01000000</v>
      </c>
      <c r="BX11" t="str">
        <f t="shared" si="16"/>
        <v>64,</v>
      </c>
      <c r="BY11" t="str">
        <f t="shared" si="17"/>
        <v xml:space="preserve"> 0x40,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0xDD,</v>
      </c>
      <c r="AD12" t="str">
        <f t="shared" si="7"/>
        <v>221,</v>
      </c>
      <c r="AE12" t="str">
        <f t="shared" si="8"/>
        <v>11011101</v>
      </c>
      <c r="AF12">
        <v>1</v>
      </c>
      <c r="AG12">
        <v>1</v>
      </c>
      <c r="AH12">
        <v>0</v>
      </c>
      <c r="AI12">
        <v>1</v>
      </c>
      <c r="AJ12">
        <v>1</v>
      </c>
      <c r="AK12">
        <v>1</v>
      </c>
      <c r="AL12">
        <v>0</v>
      </c>
      <c r="AM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01000000</v>
      </c>
      <c r="AW12" t="str">
        <f t="shared" si="10"/>
        <v>64,</v>
      </c>
      <c r="AX12" t="str">
        <f t="shared" si="11"/>
        <v xml:space="preserve"> 0x40,</v>
      </c>
      <c r="AY12" t="s">
        <v>0</v>
      </c>
      <c r="AZ12" t="s">
        <v>1</v>
      </c>
      <c r="BD12" t="str">
        <f t="shared" si="12"/>
        <v xml:space="preserve"> 0xDC,</v>
      </c>
      <c r="BE12" t="str">
        <f t="shared" si="13"/>
        <v>220,</v>
      </c>
      <c r="BF12" t="str">
        <f t="shared" si="14"/>
        <v>11011100</v>
      </c>
      <c r="BG12">
        <v>1</v>
      </c>
      <c r="BH12">
        <v>1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0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0xFC,</v>
      </c>
      <c r="AD13" t="str">
        <f t="shared" si="7"/>
        <v>252,</v>
      </c>
      <c r="AE13" t="str">
        <f t="shared" si="8"/>
        <v>11111100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0xED,</v>
      </c>
      <c r="BE13" t="str">
        <f t="shared" si="13"/>
        <v>237,</v>
      </c>
      <c r="BF13" t="str">
        <f t="shared" si="14"/>
        <v>11101101</v>
      </c>
      <c r="BG13">
        <v>1</v>
      </c>
      <c r="BH13">
        <v>1</v>
      </c>
      <c r="BI13">
        <v>1</v>
      </c>
      <c r="BJ13">
        <v>0</v>
      </c>
      <c r="BK13">
        <v>1</v>
      </c>
      <c r="BL13">
        <v>1</v>
      </c>
      <c r="BM13">
        <v>0</v>
      </c>
      <c r="BN13">
        <v>1</v>
      </c>
      <c r="BO13">
        <v>0</v>
      </c>
      <c r="BP13">
        <v>0</v>
      </c>
      <c r="BQ13">
        <v>1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00100000</v>
      </c>
      <c r="BX13" t="str">
        <f t="shared" si="16"/>
        <v>32,</v>
      </c>
      <c r="BY13" t="str">
        <f t="shared" si="17"/>
        <v xml:space="preserve"> 0x20,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0xEE,</v>
      </c>
      <c r="AD14" t="str">
        <f t="shared" si="7"/>
        <v>238,</v>
      </c>
      <c r="AE14" t="str">
        <f t="shared" si="8"/>
        <v>11101110</v>
      </c>
      <c r="AF14">
        <v>1</v>
      </c>
      <c r="AG14">
        <v>1</v>
      </c>
      <c r="AH14">
        <v>1</v>
      </c>
      <c r="AI14">
        <v>0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0xEE,</v>
      </c>
      <c r="BE14" t="str">
        <f t="shared" si="13"/>
        <v>238,</v>
      </c>
      <c r="BF14" t="str">
        <f t="shared" si="14"/>
        <v>11101110</v>
      </c>
      <c r="BG14">
        <v>1</v>
      </c>
      <c r="BH14">
        <v>1</v>
      </c>
      <c r="BI14">
        <v>1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1</v>
      </c>
      <c r="BS14">
        <v>0</v>
      </c>
      <c r="BT14">
        <v>0</v>
      </c>
      <c r="BU14">
        <v>0</v>
      </c>
      <c r="BV14">
        <v>0</v>
      </c>
      <c r="BW14" t="str">
        <f t="shared" si="15"/>
        <v>00010000</v>
      </c>
      <c r="BX14" t="str">
        <f t="shared" si="16"/>
        <v>16,</v>
      </c>
      <c r="BY14" t="str">
        <f t="shared" si="17"/>
        <v xml:space="preserve"> 0x10,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0xDE,</v>
      </c>
      <c r="AD15" t="str">
        <f t="shared" si="7"/>
        <v>222,</v>
      </c>
      <c r="AE15" t="str">
        <f t="shared" si="8"/>
        <v>11011110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0xDC,</v>
      </c>
      <c r="BE15" t="str">
        <f t="shared" si="13"/>
        <v>220,</v>
      </c>
      <c r="BF15" t="str">
        <f t="shared" si="14"/>
        <v>11011100</v>
      </c>
      <c r="BG15">
        <v>1</v>
      </c>
      <c r="BH15">
        <v>1</v>
      </c>
      <c r="BI15">
        <v>0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0xFA,</v>
      </c>
      <c r="AD16" t="str">
        <f t="shared" si="7"/>
        <v>250,</v>
      </c>
      <c r="AE16" t="str">
        <f t="shared" si="8"/>
        <v>11111010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0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0xF8,</v>
      </c>
      <c r="BE16" t="str">
        <f t="shared" si="13"/>
        <v>248,</v>
      </c>
      <c r="BF16" t="str">
        <f t="shared" si="14"/>
        <v>11111000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0xFD,</v>
      </c>
      <c r="AD17" t="str">
        <f t="shared" si="7"/>
        <v>253,</v>
      </c>
      <c r="AE17" t="str">
        <f t="shared" si="8"/>
        <v>11111101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0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0xF0,</v>
      </c>
      <c r="BE17" t="str">
        <f t="shared" si="13"/>
        <v>240,</v>
      </c>
      <c r="BF17" t="str">
        <f t="shared" si="14"/>
        <v>11110000</v>
      </c>
      <c r="BG17">
        <v>1</v>
      </c>
      <c r="BH17">
        <v>1</v>
      </c>
      <c r="BI17">
        <v>1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0xC6,</v>
      </c>
      <c r="C18" t="str">
        <f t="shared" si="1"/>
        <v>198,</v>
      </c>
      <c r="D18" t="str">
        <f t="shared" si="2"/>
        <v>11000110</v>
      </c>
      <c r="E18">
        <v>1</v>
      </c>
      <c r="F18">
        <v>1</v>
      </c>
      <c r="G18">
        <v>0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0xC0,</v>
      </c>
      <c r="BE18" t="str">
        <f t="shared" si="13"/>
        <v>192,</v>
      </c>
      <c r="BF18" t="str">
        <f t="shared" si="14"/>
        <v>11000000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0xC6,</v>
      </c>
      <c r="C19" t="str">
        <f t="shared" si="1"/>
        <v>198,</v>
      </c>
      <c r="D19" t="str">
        <f t="shared" si="2"/>
        <v>11000110</v>
      </c>
      <c r="E19">
        <v>1</v>
      </c>
      <c r="F19">
        <v>1</v>
      </c>
      <c r="G19">
        <v>0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0xC4,</v>
      </c>
      <c r="AD19" t="str">
        <f t="shared" si="7"/>
        <v>196,</v>
      </c>
      <c r="AE19" t="str">
        <f t="shared" si="8"/>
        <v>11000100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0xC0,</v>
      </c>
      <c r="BE19" t="str">
        <f t="shared" si="13"/>
        <v>192,</v>
      </c>
      <c r="BF19" t="str">
        <f t="shared" si="14"/>
        <v>11000000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0xC0,</v>
      </c>
      <c r="BE20" t="str">
        <f t="shared" si="13"/>
        <v>192,</v>
      </c>
      <c r="BF20" t="str">
        <f t="shared" si="14"/>
        <v>11000000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7,0,0,0,0,0,0,0,0,254,0,254,0,254,0,198,0,198,0,198,0,198,0,198,0,198,0,198,0,198,0,198,0,     //  п     //  191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10,0,0,32,0,0,0,0,0,52,0,242,0,248,0,221,64,252,0,238,0,222,128,250,0,253,0,192,0,196,0,192,0,     //  ххх     //  ххх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12,0,0,0,0,0,0,0,0,120,0,248,128,248,64,220,192,237,32,238,16,220,0,248,0,240,0,192,0,192,0,192,0,     //  ххх     //  ххх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0xFE, 0x00, 0xFE, 0x00, 0xFE, 0x00, 0xC6, 0x00, 0xC6, 0x00, 0xC6, 0x00, 0xC6, 0x00, 0xC6, 0x00, 0xC6, 0x00, 0xC6, 0x00, 0xC6, 0x00, 0xC6, 0x00,     //  п     //  191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0x20, 0x00, 0x00, 0x00, 0x00, 0x00, 0x34, 0x00, 0xF2, 0x00, 0xF8, 0x00, 0xDD, 0x40, 0xFC, 0x00, 0xEE, 0x00, 0xDE, 0x80, 0xFA, 0x00, 0xFD, 0x00, 0xC0, 0x00, 0xC4, 0x00, 0xC0, 0x00,     //  ххх     //  ххх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0x00, 0x00, 0x00, 0x00, 0x00, 0x00, 0x00, 0x00, 0x78, 0x00, 0xF8, 0x80, 0xF8, 0x40, 0xDC, 0xC0, 0xED, 0x20, 0xEE, 0x10, 0xDC, 0x00, 0xF8, 0x00, 0xF0, 0x00, 0xC0, 0x00, 0xC0, 0x00, 0xC0, 0x00,     //  ххх     //  ххх</v>
      </c>
    </row>
    <row r="28" spans="1:79">
      <c r="A28" s="1" t="str">
        <f>$B$24</f>
        <v>7,0,0,0,0,0,0,0,0,254,0,254,0,254,0,198,0,198,0,198,0,198,0,198,0,198,0,198,0,198,0,198,0,     //  п     //  191</v>
      </c>
      <c r="E28" t="s">
        <v>4</v>
      </c>
      <c r="AB28" s="1" t="str">
        <f>$AC$24</f>
        <v>10,0,0,32,0,0,0,0,0,52,0,242,0,248,0,221,64,252,0,238,0,222,128,250,0,253,0,192,0,196,0,192,0,     //  ххх     //  ххх</v>
      </c>
      <c r="AF28" t="s">
        <v>4</v>
      </c>
      <c r="BC28" s="1" t="str">
        <f>$BD$24</f>
        <v>12,0,0,0,0,0,0,0,0,120,0,248,128,248,64,220,192,237,32,238,16,220,0,248,0,240,0,192,0,192,0,192,0,     //  ххх     //  ххх</v>
      </c>
      <c r="BG28" t="s">
        <v>4</v>
      </c>
    </row>
    <row r="29" spans="1:79">
      <c r="A29" s="2" t="str">
        <f>$B$25</f>
        <v xml:space="preserve"> 0x07, 0x00, 0x00, 0x00, 0x00, 0x00, 0x00, 0x00, 0x00, 0xFE, 0x00, 0xFE, 0x00, 0xFE, 0x00, 0xC6, 0x00, 0xC6, 0x00, 0xC6, 0x00, 0xC6, 0x00, 0xC6, 0x00, 0xC6, 0x00, 0xC6, 0x00, 0xC6, 0x00, 0xC6, 0x00,     //  п     //  191</v>
      </c>
      <c r="E29" t="s">
        <v>3</v>
      </c>
      <c r="AB29" s="2" t="str">
        <f>$AC$25</f>
        <v xml:space="preserve"> 0x0A, 0x00, 0x00, 0x20, 0x00, 0x00, 0x00, 0x00, 0x00, 0x34, 0x00, 0xF2, 0x00, 0xF8, 0x00, 0xDD, 0x40, 0xFC, 0x00, 0xEE, 0x00, 0xDE, 0x80, 0xFA, 0x00, 0xFD, 0x00, 0xC0, 0x00, 0xC4, 0x00, 0xC0, 0x00,     //  ххх     //  ххх</v>
      </c>
      <c r="AF29" t="s">
        <v>3</v>
      </c>
      <c r="BC29" s="2" t="str">
        <f>$BD$25</f>
        <v xml:space="preserve"> 0x0C, 0x00, 0x00, 0x00, 0x00, 0x00, 0x00, 0x00, 0x00, 0x78, 0x00, 0xF8, 0x80, 0xF8, 0x40, 0xDC, 0xC0, 0xED, 0x20, 0xEE, 0x10, 0xDC, 0x00, 0xF8, 0x00, 0xF0, 0x00, 0xC0, 0x00, 0xC0, 0x00, 0xC0, 0x00,     //  ххх     //  ххх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3.xml><?xml version="1.0" encoding="utf-8"?>
<worksheet xmlns="http://schemas.openxmlformats.org/spreadsheetml/2006/main" xmlns:r="http://schemas.openxmlformats.org/officeDocument/2006/relationships">
  <dimension ref="A6:X72"/>
  <sheetViews>
    <sheetView workbookViewId="0">
      <selection activeCell="AA5" sqref="AA5"/>
    </sheetView>
  </sheetViews>
  <sheetFormatPr defaultRowHeight="15"/>
  <cols>
    <col min="2" max="15" width="0" hidden="1" customWidth="1"/>
  </cols>
  <sheetData>
    <row r="6" spans="1:24" ht="15.75">
      <c r="S6" s="4" t="s">
        <v>73</v>
      </c>
      <c r="T6" s="1"/>
      <c r="U6" s="1"/>
      <c r="V6" s="1"/>
      <c r="W6" s="1"/>
      <c r="X6" s="1"/>
    </row>
    <row r="8" spans="1:24">
      <c r="A8">
        <v>128</v>
      </c>
      <c r="B8" t="s">
        <v>71</v>
      </c>
      <c r="C8" t="s">
        <v>72</v>
      </c>
      <c r="E8" t="str">
        <f>рст!A28</f>
        <v>7,0,0,0,0,0,0,0,0,248,0,252,0,206,0,198,0,198,0,198,0,206,0,252,0,248,0,192,0,192,0,192,0,     //  р     //  128</v>
      </c>
      <c r="S8" t="str">
        <f>B8&amp;A8&amp;C8&amp;E8</f>
        <v>/*128*/   7,0,0,0,0,0,0,0,0,248,0,252,0,206,0,198,0,198,0,198,0,206,0,252,0,248,0,192,0,192,0,192,0,     //  р     //  128</v>
      </c>
    </row>
    <row r="9" spans="1:24">
      <c r="A9">
        <v>129</v>
      </c>
      <c r="B9" t="s">
        <v>71</v>
      </c>
      <c r="C9" t="s">
        <v>72</v>
      </c>
      <c r="E9" t="str">
        <f>рст!AB28</f>
        <v>8,0,0,0,0,0,0,0,0,60,0,126,0,231,0,195,0,192,0,192,0,192,0,192,0,195,0,231,0,126,0,60,0,     //  с     //  129</v>
      </c>
      <c r="S9" t="str">
        <f t="shared" ref="S9:S72" si="0">B9&amp;A9&amp;C9&amp;E9</f>
        <v>/*129*/   8,0,0,0,0,0,0,0,0,60,0,126,0,231,0,195,0,192,0,192,0,192,0,192,0,195,0,231,0,126,0,60,0,     //  с     //  129</v>
      </c>
    </row>
    <row r="10" spans="1:24">
      <c r="A10">
        <v>130</v>
      </c>
      <c r="B10" t="s">
        <v>71</v>
      </c>
      <c r="C10" t="s">
        <v>72</v>
      </c>
      <c r="E10" t="str">
        <f>рст!BC28</f>
        <v>8,0,0,0,0,0,0,0,0,255,0,255,0,153,0,153,0,24,0,24,0,24,0,24,0,24,0,24,0,24,0,24,0,     //  т     //  130</v>
      </c>
      <c r="S10" t="str">
        <f t="shared" si="0"/>
        <v>/*130*/   8,0,0,0,0,0,0,0,0,255,0,255,0,153,0,153,0,24,0,24,0,24,0,24,0,24,0,24,0,24,0,24,0,     //  т     //  130</v>
      </c>
    </row>
    <row r="11" spans="1:24">
      <c r="A11">
        <v>131</v>
      </c>
      <c r="B11" t="s">
        <v>71</v>
      </c>
      <c r="C11" t="s">
        <v>72</v>
      </c>
      <c r="E11" t="str">
        <f>уфх!A28</f>
        <v>7,0,0,0,0,0,0,0,0,198,0,198,0,198,0,198,0,198,0,102,0,62,0,12,0,24,0,48,0,224,0,192,0,     //  у     //  131</v>
      </c>
      <c r="S11" t="str">
        <f t="shared" si="0"/>
        <v>/*131*/   7,0,0,0,0,0,0,0,0,198,0,198,0,198,0,198,0,198,0,102,0,62,0,12,0,24,0,48,0,224,0,192,0,     //  у     //  131</v>
      </c>
    </row>
    <row r="12" spans="1:24">
      <c r="A12">
        <v>132</v>
      </c>
      <c r="B12" t="s">
        <v>71</v>
      </c>
      <c r="C12" t="s">
        <v>72</v>
      </c>
      <c r="E12" t="str">
        <f>уфх!AB28</f>
        <v>10,0,0,0,0,0,0,0,0,12,0,63,0,127,128,237,192,204,192,204,192,204,192,204,192,237,192,127,128,63,0,12,0,     //  ф     //  132</v>
      </c>
      <c r="S12" t="str">
        <f t="shared" si="0"/>
        <v>/*132*/   10,0,0,0,0,0,0,0,0,12,0,63,0,127,128,237,192,204,192,204,192,204,192,204,192,237,192,127,128,63,0,12,0,     //  ф     //  132</v>
      </c>
    </row>
    <row r="13" spans="1:24">
      <c r="A13">
        <v>133</v>
      </c>
      <c r="B13" t="s">
        <v>71</v>
      </c>
      <c r="C13" t="s">
        <v>72</v>
      </c>
      <c r="E13" t="str">
        <f>уфх!BC28</f>
        <v>8,0,0,0,0,0,0,0,0,195,0,195,0,195,0,102,0,36,0,24,0,24,0,36,0,102,0,195,0,195,0,195,0,     //  х     //  133</v>
      </c>
      <c r="S13" t="str">
        <f t="shared" si="0"/>
        <v>/*133*/   8,0,0,0,0,0,0,0,0,195,0,195,0,195,0,102,0,36,0,24,0,24,0,36,0,102,0,195,0,195,0,195,0,     //  х     //  133</v>
      </c>
    </row>
    <row r="14" spans="1:24">
      <c r="A14">
        <v>134</v>
      </c>
      <c r="B14" t="s">
        <v>71</v>
      </c>
      <c r="C14" t="s">
        <v>72</v>
      </c>
      <c r="E14" t="str">
        <f>цчш!A28</f>
        <v>8,0,0,0,0,0,0,0,0,198,0,198,0,198,0,198,0,198,0,198,0,198,0,198,0,198,0,254,0,255,0,7,0,     //  ц     //  134</v>
      </c>
      <c r="S14" t="str">
        <f t="shared" si="0"/>
        <v>/*134*/   8,0,0,0,0,0,0,0,0,198,0,198,0,198,0,198,0,198,0,198,0,198,0,198,0,198,0,254,0,255,0,7,0,     //  ц     //  134</v>
      </c>
    </row>
    <row r="15" spans="1:24">
      <c r="A15">
        <v>135</v>
      </c>
      <c r="B15" t="s">
        <v>71</v>
      </c>
      <c r="C15" t="s">
        <v>72</v>
      </c>
      <c r="E15" t="str">
        <f>цчш!AB28</f>
        <v>7,0,0,0,0,0,0,0,0,198,0,198,0,198,0,198,0,198,0,198,0,230,0,126,0,62,0,6,0,6,0,6,0,     //  ч     //  135</v>
      </c>
      <c r="S15" t="str">
        <f t="shared" si="0"/>
        <v>/*135*/   7,0,0,0,0,0,0,0,0,198,0,198,0,198,0,198,0,198,0,198,0,230,0,126,0,62,0,6,0,6,0,6,0,     //  ч     //  135</v>
      </c>
    </row>
    <row r="16" spans="1:24">
      <c r="A16">
        <v>136</v>
      </c>
      <c r="B16" t="s">
        <v>71</v>
      </c>
      <c r="C16" t="s">
        <v>72</v>
      </c>
      <c r="E16" t="str">
        <f>цчш!BC28</f>
        <v>8,0,0,0,0,0,0,0,0,195,0,195,0,195,0,195,0,219,0,219,0,219,0,219,0,219,0,255,0,255,0,255,0,     //  ш     //  136</v>
      </c>
      <c r="S16" t="str">
        <f t="shared" si="0"/>
        <v>/*136*/   8,0,0,0,0,0,0,0,0,195,0,195,0,195,0,195,0,219,0,219,0,219,0,219,0,219,0,255,0,255,0,255,0,     //  ш     //  136</v>
      </c>
    </row>
    <row r="17" spans="1:19">
      <c r="A17">
        <v>137</v>
      </c>
      <c r="B17" t="s">
        <v>71</v>
      </c>
      <c r="C17" t="s">
        <v>72</v>
      </c>
      <c r="E17" t="str">
        <f>щъы!A28</f>
        <v>9,0,0,0,0,0,0,0,0,195,0,195,0,195,0,195,0,219,0,219,0,219,0,219,0,255,0,255,0,255,128,3,128,     //  щ     //  137</v>
      </c>
      <c r="S17" t="str">
        <f t="shared" si="0"/>
        <v>/*137*/   9,0,0,0,0,0,0,0,0,195,0,195,0,195,0,195,0,219,0,219,0,219,0,219,0,255,0,255,0,255,128,3,128,     //  щ     //  137</v>
      </c>
    </row>
    <row r="18" spans="1:19">
      <c r="A18">
        <v>138</v>
      </c>
      <c r="B18" t="s">
        <v>71</v>
      </c>
      <c r="C18" t="s">
        <v>72</v>
      </c>
      <c r="E18" t="str">
        <f>щъы!AB28</f>
        <v>8,0,0,0,0,0,0,0,0,224,0,224,0,96,0,124,0,126,0,103,0,99,0,99,0,99,0,103,0,126,0,124,0,     //  ъ     //  138</v>
      </c>
      <c r="S18" t="str">
        <f t="shared" si="0"/>
        <v>/*138*/   8,0,0,0,0,0,0,0,0,224,0,224,0,96,0,124,0,126,0,103,0,99,0,99,0,99,0,103,0,126,0,124,0,     //  ъ     //  138</v>
      </c>
    </row>
    <row r="19" spans="1:19">
      <c r="A19">
        <v>139</v>
      </c>
      <c r="B19" t="s">
        <v>71</v>
      </c>
      <c r="C19" t="s">
        <v>72</v>
      </c>
      <c r="E19" t="str">
        <f>щъы!BC28</f>
        <v>8,0,0,0,0,0,0,0,0,193,128,193,128,193,128,241,128,249,128,221,128,205,128,205,128,205,128,221,128,249,128,241,128,     //  ы     //  139</v>
      </c>
      <c r="S19" t="str">
        <f t="shared" si="0"/>
        <v>/*139*/   8,0,0,0,0,0,0,0,0,193,128,193,128,193,128,241,128,249,128,221,128,205,128,205,128,205,128,221,128,249,128,241,128,     //  ы     //  139</v>
      </c>
    </row>
    <row r="20" spans="1:19">
      <c r="A20">
        <v>140</v>
      </c>
      <c r="B20" t="s">
        <v>71</v>
      </c>
      <c r="C20" t="s">
        <v>72</v>
      </c>
      <c r="E20" t="str">
        <f>ьэю!A28</f>
        <v>6,0,0,0,0,0,0,0,0,192,0,192,0,192,0,240,0,248,0,220,0,204,0,204,0,204,0,220,0,248,0,240,0,     //  ь     //  140</v>
      </c>
      <c r="S20" t="str">
        <f t="shared" si="0"/>
        <v>/*140*/   6,0,0,0,0,0,0,0,0,192,0,192,0,192,0,240,0,248,0,220,0,204,0,204,0,204,0,220,0,248,0,240,0,     //  ь     //  140</v>
      </c>
    </row>
    <row r="21" spans="1:19">
      <c r="A21">
        <v>141</v>
      </c>
      <c r="B21" t="s">
        <v>71</v>
      </c>
      <c r="C21" t="s">
        <v>72</v>
      </c>
      <c r="E21" t="str">
        <f>ьэю!AB28</f>
        <v>7,0,0,0,0,0,0,0,0,56,0,124,0,206,0,198,0,6,0,30,0,30,0,6,0,198,0,206,0,124,0,56,0,     //  э     //  141</v>
      </c>
      <c r="S21" t="str">
        <f t="shared" si="0"/>
        <v>/*141*/   7,0,0,0,0,0,0,0,0,56,0,124,0,206,0,198,0,6,0,30,0,30,0,6,0,198,0,206,0,124,0,56,0,     //  э     //  141</v>
      </c>
    </row>
    <row r="22" spans="1:19">
      <c r="A22">
        <v>142</v>
      </c>
      <c r="B22" t="s">
        <v>71</v>
      </c>
      <c r="C22" t="s">
        <v>72</v>
      </c>
      <c r="E22" t="str">
        <f>ьэю!BC28</f>
        <v>9,0,0,0,0,0,0,0,0,198,0,207,0,217,128,217,128,217,128,249,128,249,128,217,128,217,128,217,128,207,0,198,0,     //  ю     //  142</v>
      </c>
      <c r="S22" t="str">
        <f t="shared" si="0"/>
        <v>/*142*/   9,0,0,0,0,0,0,0,0,198,0,207,0,217,128,217,128,217,128,249,128,249,128,217,128,217,128,217,128,207,0,198,0,     //  ю     //  142</v>
      </c>
    </row>
    <row r="23" spans="1:19">
      <c r="A23">
        <v>143</v>
      </c>
      <c r="B23" t="s">
        <v>71</v>
      </c>
      <c r="C23" t="s">
        <v>72</v>
      </c>
      <c r="E23" t="str">
        <f>яАБ!A28</f>
        <v>7,0,0,0,0,0,0,0,0,30,0,62,0,102,0,102,0,102,0,102,0,102,0,62,0,30,0,54,0,102,0,198,0,     //  я     //  143</v>
      </c>
      <c r="S23" t="str">
        <f t="shared" si="0"/>
        <v>/*143*/   7,0,0,0,0,0,0,0,0,30,0,62,0,102,0,102,0,102,0,102,0,102,0,62,0,30,0,54,0,102,0,198,0,     //  я     //  143</v>
      </c>
    </row>
    <row r="24" spans="1:19">
      <c r="A24">
        <v>144</v>
      </c>
      <c r="B24" t="s">
        <v>71</v>
      </c>
      <c r="C24" t="s">
        <v>72</v>
      </c>
      <c r="E24" t="str">
        <f>яАБ!AB28</f>
        <v>7,16,0,56,0,56,0,108,0,108,0,198,0,198,0,198,0,198,0,198,0,254,0,254,0,198,0,198,0,198,0,198,0,     //  А     //  144</v>
      </c>
      <c r="S24" t="str">
        <f t="shared" si="0"/>
        <v>/*144*/   7,16,0,56,0,56,0,108,0,108,0,198,0,198,0,198,0,198,0,198,0,254,0,254,0,198,0,198,0,198,0,198,0,     //  А     //  144</v>
      </c>
    </row>
    <row r="25" spans="1:19">
      <c r="A25">
        <v>145</v>
      </c>
      <c r="B25" t="s">
        <v>71</v>
      </c>
      <c r="C25" t="s">
        <v>72</v>
      </c>
      <c r="E25" t="str">
        <f>яАБ!BC28</f>
        <v>7,252,0,252,0,192,0,192,0,192,0,248,0,252,0,206,0,198,0,198,0,198,0,198,0,198,0,206,0,252,0,248,0,     //  Б     //  145</v>
      </c>
      <c r="S25" t="str">
        <f t="shared" si="0"/>
        <v>/*145*/   7,252,0,252,0,192,0,192,0,192,0,248,0,252,0,206,0,198,0,198,0,198,0,198,0,198,0,206,0,252,0,248,0,     //  Б     //  145</v>
      </c>
    </row>
    <row r="26" spans="1:19">
      <c r="A26">
        <v>146</v>
      </c>
      <c r="B26" t="s">
        <v>71</v>
      </c>
      <c r="C26" t="s">
        <v>72</v>
      </c>
      <c r="E26" t="str">
        <f>ВГД!A28</f>
        <v>7,248,0,252,0,206,0,198,0,198,0,198,0,206,0,252,0,252,0,206,0,198,0,198,0,198,0,206,0,252,0,248,0,     //  В     //  146</v>
      </c>
      <c r="S26" t="str">
        <f t="shared" si="0"/>
        <v>/*146*/   7,248,0,252,0,206,0,198,0,198,0,198,0,206,0,252,0,252,0,206,0,198,0,198,0,198,0,206,0,252,0,248,0,     //  В     //  146</v>
      </c>
    </row>
    <row r="27" spans="1:19">
      <c r="A27">
        <v>147</v>
      </c>
      <c r="B27" t="s">
        <v>71</v>
      </c>
      <c r="C27" t="s">
        <v>72</v>
      </c>
      <c r="E27" t="str">
        <f>ВГД!AB28</f>
        <v>6,252,0,252,0,252,0,196,0,192,0,192,0,192,0,192,0,192,0,192,0,192,0,192,0,192,0,192,0,192,0,192,0,     //  Г     //  147</v>
      </c>
      <c r="S27" t="str">
        <f t="shared" si="0"/>
        <v>/*147*/   6,252,0,252,0,252,0,196,0,192,0,192,0,192,0,192,0,192,0,192,0,192,0,192,0,192,0,192,0,192,0,192,0,     //  Г     //  147</v>
      </c>
    </row>
    <row r="28" spans="1:19">
      <c r="A28">
        <v>148</v>
      </c>
      <c r="B28" t="s">
        <v>71</v>
      </c>
      <c r="C28" t="s">
        <v>72</v>
      </c>
      <c r="E28" t="str">
        <f>ВГД!BC28</f>
        <v>9,15,0,15,0,31,0,27,0,59,0,51,0,115,0,99,0,99,0,99,0,99,0,99,0,99,0,255,128,255,128,193,128,     //  Д     //  148</v>
      </c>
      <c r="S28" t="str">
        <f t="shared" si="0"/>
        <v>/*148*/   9,15,0,15,0,31,0,27,0,59,0,51,0,115,0,99,0,99,0,99,0,99,0,99,0,99,0,255,128,255,128,193,128,     //  Д     //  148</v>
      </c>
    </row>
    <row r="29" spans="1:19">
      <c r="A29">
        <v>149</v>
      </c>
      <c r="B29" t="s">
        <v>71</v>
      </c>
      <c r="C29" t="s">
        <v>72</v>
      </c>
      <c r="E29" t="str">
        <f>ЕЖЗ!A28</f>
        <v>7,254,0,254,0,194,0,192,0,192,0,192,0,192,0,252,0,252,0,252,0,192,0,192,0,192,0,194,0,254,0,254,0,     //  Е     //  149</v>
      </c>
      <c r="S29" t="str">
        <f t="shared" si="0"/>
        <v>/*149*/   7,254,0,254,0,194,0,192,0,192,0,192,0,192,0,252,0,252,0,252,0,192,0,192,0,192,0,194,0,254,0,254,0,     //  Е     //  149</v>
      </c>
    </row>
    <row r="30" spans="1:19">
      <c r="A30">
        <v>150</v>
      </c>
      <c r="B30" t="s">
        <v>71</v>
      </c>
      <c r="C30" t="s">
        <v>72</v>
      </c>
      <c r="E30" t="str">
        <f>ЕЖЗ!AB28</f>
        <v>10,204,192,204,192,204,192,109,128,109,128,45,0,63,0,30,0,30,0,63,0,45,0,109,128,204,192,204,192,204,192,204,192,     //  Ж     //  150</v>
      </c>
      <c r="S30" t="str">
        <f t="shared" si="0"/>
        <v>/*150*/   10,204,192,204,192,204,192,109,128,109,128,45,0,63,0,30,0,30,0,63,0,45,0,109,128,204,192,204,192,204,192,204,192,     //  Ж     //  150</v>
      </c>
    </row>
    <row r="31" spans="1:19">
      <c r="A31">
        <v>151</v>
      </c>
      <c r="B31" t="s">
        <v>71</v>
      </c>
      <c r="C31" t="s">
        <v>72</v>
      </c>
      <c r="E31" t="str">
        <f>ЕЖЗ!BC28</f>
        <v>8,60,0,126,0,231,0,195,0,195,0,7,0,14,0,28,0,14,0,7,0,3,0,195,0,195,0,231,0,126,0,60,0,     //  З     //  151</v>
      </c>
      <c r="S31" t="str">
        <f t="shared" si="0"/>
        <v>/*151*/   8,60,0,126,0,231,0,195,0,195,0,7,0,14,0,28,0,14,0,7,0,3,0,195,0,195,0,231,0,126,0,60,0,     //  З     //  151</v>
      </c>
    </row>
    <row r="32" spans="1:19">
      <c r="A32">
        <v>152</v>
      </c>
      <c r="B32" t="s">
        <v>71</v>
      </c>
      <c r="C32" t="s">
        <v>72</v>
      </c>
      <c r="E32" t="str">
        <f>ИЙК!A28</f>
        <v>8,195,0,195,0,195,0,195,0,195,0,195,0,199,0,199,0,207,0,203,0,219,0,211,0,243,0,227,0,227,0,195,0,     //  И     //  152</v>
      </c>
      <c r="S32" t="str">
        <f t="shared" si="0"/>
        <v>/*152*/   8,195,0,195,0,195,0,195,0,195,0,195,0,199,0,199,0,207,0,203,0,219,0,211,0,243,0,227,0,227,0,195,0,     //  И     //  152</v>
      </c>
    </row>
    <row r="33" spans="1:19">
      <c r="A33">
        <v>153</v>
      </c>
      <c r="B33" t="s">
        <v>71</v>
      </c>
      <c r="C33" t="s">
        <v>72</v>
      </c>
      <c r="E33" t="str">
        <f>ИЙК!AB28</f>
        <v>8,24,0,219,0,195,0,195,0,195,0,195,0,199,0,199,0,207,0,203,0,219,0,211,0,243,0,227,0,227,0,195,0,     //  Й     //  153</v>
      </c>
      <c r="S33" t="str">
        <f t="shared" si="0"/>
        <v>/*153*/   8,24,0,219,0,195,0,195,0,195,0,195,0,199,0,199,0,207,0,203,0,219,0,211,0,243,0,227,0,227,0,195,0,     //  Й     //  153</v>
      </c>
    </row>
    <row r="34" spans="1:19">
      <c r="A34">
        <v>154</v>
      </c>
      <c r="B34" t="s">
        <v>71</v>
      </c>
      <c r="C34" t="s">
        <v>72</v>
      </c>
      <c r="E34" t="str">
        <f>ИЙК!BC28</f>
        <v>8,195,0,195,0,195,0,199,0,206,0,220,0,248,0,240,0,248,0,220,0,206,0,199,0,195,0,195,0,195,0,195,0,     //  К     //  154</v>
      </c>
      <c r="S34" t="str">
        <f t="shared" si="0"/>
        <v>/*154*/   8,195,0,195,0,195,0,199,0,206,0,220,0,248,0,240,0,248,0,220,0,206,0,199,0,195,0,195,0,195,0,195,0,     //  К     //  154</v>
      </c>
    </row>
    <row r="35" spans="1:19">
      <c r="A35">
        <v>155</v>
      </c>
      <c r="B35" t="s">
        <v>71</v>
      </c>
      <c r="C35" t="s">
        <v>72</v>
      </c>
      <c r="E35" t="str">
        <f>ЛМН!A28</f>
        <v>8,3,0,7,0,7,0,15,0,15,0,27,0,27,0,59,0,51,0,51,0,99,0,99,0,227,0,195,0,195,0,195,0,     //  Л     //  155</v>
      </c>
      <c r="S35" t="str">
        <f t="shared" si="0"/>
        <v>/*155*/   8,3,0,7,0,7,0,15,0,15,0,27,0,27,0,59,0,51,0,51,0,99,0,99,0,227,0,195,0,195,0,195,0,     //  Л     //  155</v>
      </c>
    </row>
    <row r="36" spans="1:19">
      <c r="A36">
        <v>156</v>
      </c>
      <c r="B36" t="s">
        <v>71</v>
      </c>
      <c r="C36" t="s">
        <v>72</v>
      </c>
      <c r="E36" t="str">
        <f>ЛМН!AB28</f>
        <v>10,192,192,192,192,192,192,225,192,225,192,243,192,243,192,255,192,222,192,222,192,204,192,204,192,192,192,192,192,192,192,192,192,     //  М     //  156</v>
      </c>
      <c r="S36" t="str">
        <f t="shared" si="0"/>
        <v>/*156*/   10,192,192,192,192,192,192,225,192,225,192,243,192,243,192,255,192,222,192,222,192,204,192,204,192,192,192,192,192,192,192,192,192,     //  М     //  156</v>
      </c>
    </row>
    <row r="37" spans="1:19">
      <c r="A37">
        <v>157</v>
      </c>
      <c r="B37" t="s">
        <v>71</v>
      </c>
      <c r="C37" t="s">
        <v>72</v>
      </c>
      <c r="E37" t="str">
        <f>ЛМН!BC28</f>
        <v>7,198,0,198,0,198,0,198,0,198,0,198,0,198,0,254,0,254,0,254,0,198,0,198,0,198,0,198,0,198,0,198,0,     //  Н     //  157</v>
      </c>
      <c r="S37" t="str">
        <f t="shared" si="0"/>
        <v>/*157*/   7,198,0,198,0,198,0,198,0,198,0,198,0,198,0,254,0,254,0,254,0,198,0,198,0,198,0,198,0,198,0,198,0,     //  Н     //  157</v>
      </c>
    </row>
    <row r="38" spans="1:19">
      <c r="A38">
        <v>158</v>
      </c>
      <c r="B38" t="s">
        <v>71</v>
      </c>
      <c r="C38" t="s">
        <v>72</v>
      </c>
      <c r="E38" t="str">
        <f>ОПР!A28</f>
        <v>7,56,0,124,0,238,0,198,0,198,0,198,0,198,0,198,0,198,0,198,0,198,0,198,0,198,0,238,0,124,0,56,0,     //  О     //  158</v>
      </c>
      <c r="S38" t="str">
        <f t="shared" si="0"/>
        <v>/*158*/   7,56,0,124,0,238,0,198,0,198,0,198,0,198,0,198,0,198,0,198,0,198,0,198,0,198,0,238,0,124,0,56,0,     //  О     //  158</v>
      </c>
    </row>
    <row r="39" spans="1:19">
      <c r="A39">
        <v>159</v>
      </c>
      <c r="B39" t="s">
        <v>71</v>
      </c>
      <c r="C39" t="s">
        <v>72</v>
      </c>
      <c r="E39" t="str">
        <f>ОПР!AB28</f>
        <v>7,254,0,254,0,254,0,198,0,198,0,198,0,198,0,198,0,198,0,198,0,198,0,198,0,198,0,198,0,198,0,198,0,     //  П     //  159</v>
      </c>
      <c r="S39" t="str">
        <f t="shared" si="0"/>
        <v>/*159*/   7,254,0,254,0,254,0,198,0,198,0,198,0,198,0,198,0,198,0,198,0,198,0,198,0,198,0,198,0,198,0,198,0,     //  П     //  159</v>
      </c>
    </row>
    <row r="40" spans="1:19">
      <c r="A40">
        <v>160</v>
      </c>
      <c r="B40" t="s">
        <v>71</v>
      </c>
      <c r="C40" t="s">
        <v>72</v>
      </c>
      <c r="E40" t="str">
        <f>ОПР!BC28</f>
        <v>7,248,0,252,0,206,0,198,0,198,0,198,0,198,0,198,0,198,0,206,0,252,0,248,0,192,0,192,0,192,0,192,0,     //  Р     //  160</v>
      </c>
      <c r="S40" t="str">
        <f t="shared" si="0"/>
        <v>/*160*/   7,248,0,252,0,206,0,198,0,198,0,198,0,198,0,198,0,198,0,206,0,252,0,248,0,192,0,192,0,192,0,192,0,     //  Р     //  160</v>
      </c>
    </row>
    <row r="41" spans="1:19">
      <c r="A41">
        <v>161</v>
      </c>
      <c r="B41" t="s">
        <v>71</v>
      </c>
      <c r="C41" t="s">
        <v>72</v>
      </c>
      <c r="E41" t="str">
        <f>СТУ!A28</f>
        <v>7,56,0,124,0,238,0,198,0,198,0,192,0,192,0,192,0,192,0,192,0,192,0,198,0,198,0,238,0,124,0,56,0,     //  С     //  161</v>
      </c>
      <c r="S41" t="str">
        <f t="shared" si="0"/>
        <v>/*161*/   7,56,0,124,0,238,0,198,0,198,0,192,0,192,0,192,0,192,0,192,0,192,0,198,0,198,0,238,0,124,0,56,0,     //  С     //  161</v>
      </c>
    </row>
    <row r="42" spans="1:19">
      <c r="A42">
        <v>162</v>
      </c>
      <c r="B42" t="s">
        <v>71</v>
      </c>
      <c r="C42" t="s">
        <v>72</v>
      </c>
      <c r="E42" t="str">
        <f>СТУ!AB28</f>
        <v>8,255,0,255,0,153,0,24,0,24,0,24,0,24,0,24,0,24,0,24,0,24,0,24,0,24,0,24,0,24,0,24,0,     //  Т     //  162</v>
      </c>
      <c r="S42" t="str">
        <f t="shared" si="0"/>
        <v>/*162*/   8,255,0,255,0,153,0,24,0,24,0,24,0,24,0,24,0,24,0,24,0,24,0,24,0,24,0,24,0,24,0,24,0,     //  Т     //  162</v>
      </c>
    </row>
    <row r="43" spans="1:19">
      <c r="A43">
        <v>163</v>
      </c>
      <c r="B43" t="s">
        <v>71</v>
      </c>
      <c r="C43" t="s">
        <v>72</v>
      </c>
      <c r="E43" t="str">
        <f>СТУ!BC28</f>
        <v>7,198,0,198,0,198,0,198,0,198,0,198,0,230,0,118,0,62,0,30,0,6,0,6,0,6,0,204,0,248,0,112,0,     //  У     //  163</v>
      </c>
      <c r="S43" t="str">
        <f t="shared" si="0"/>
        <v>/*163*/   7,198,0,198,0,198,0,198,0,198,0,198,0,230,0,118,0,62,0,30,0,6,0,6,0,6,0,204,0,248,0,112,0,     //  У     //  163</v>
      </c>
    </row>
    <row r="44" spans="1:19">
      <c r="A44">
        <v>164</v>
      </c>
      <c r="B44" t="s">
        <v>71</v>
      </c>
      <c r="C44" t="s">
        <v>72</v>
      </c>
      <c r="E44" t="str">
        <f>ФХЦ!A28</f>
        <v>10,12,0,63,0,127,128,237,192,204,192,204,192,204,192,204,192,204,192,204,192,204,192,237,192,127,128,63,0,12,0,12,0,     //  Ф     //  164</v>
      </c>
      <c r="S44" t="str">
        <f t="shared" si="0"/>
        <v>/*164*/   10,12,0,63,0,127,128,237,192,204,192,204,192,204,192,204,192,204,192,204,192,204,192,237,192,127,128,63,0,12,0,12,0,     //  Ф     //  164</v>
      </c>
    </row>
    <row r="45" spans="1:19">
      <c r="A45">
        <v>165</v>
      </c>
      <c r="B45" t="s">
        <v>71</v>
      </c>
      <c r="C45" t="s">
        <v>72</v>
      </c>
      <c r="E45" t="str">
        <f>ФХЦ!AB28</f>
        <v>9,193,128,193,128,227,128,99,0,119,0,54,0,62,0,28,0,28,0,62,0,54,0,119,0,99,0,227,128,193,128,193,128,     //  Х     //  165</v>
      </c>
      <c r="S45" t="str">
        <f t="shared" si="0"/>
        <v>/*165*/   9,193,128,193,128,227,128,99,0,119,0,54,0,62,0,28,0,28,0,62,0,54,0,119,0,99,0,227,128,193,128,193,128,     //  Х     //  165</v>
      </c>
    </row>
    <row r="46" spans="1:19">
      <c r="A46">
        <v>166</v>
      </c>
      <c r="B46" t="s">
        <v>71</v>
      </c>
      <c r="C46" t="s">
        <v>72</v>
      </c>
      <c r="E46" t="str">
        <f>ФХЦ!BC28</f>
        <v>8,198,0,198,0,198,0,198,0,198,0,198,0,198,0,198,0,198,0,198,0,198,0,198,0,198,0,254,0,255,0,3,0,     //  Ц     //  166</v>
      </c>
      <c r="S46" t="str">
        <f t="shared" si="0"/>
        <v>/*166*/   8,198,0,198,0,198,0,198,0,198,0,198,0,198,0,198,0,198,0,198,0,198,0,198,0,198,0,254,0,255,0,3,0,     //  Ц     //  166</v>
      </c>
    </row>
    <row r="47" spans="1:19">
      <c r="A47">
        <v>167</v>
      </c>
      <c r="B47" t="s">
        <v>71</v>
      </c>
      <c r="C47" t="s">
        <v>72</v>
      </c>
      <c r="E47" t="str">
        <f>ЧШЩ!A28</f>
        <v>14,15,224,31,240,63,248,127,252,248,124,240,60,240,0,240,0,240,0,240,0,240,60,248,124,127,252,63,248,31,240,15,224,     //  Ч     //  167</v>
      </c>
      <c r="S47" t="str">
        <f t="shared" si="0"/>
        <v>/*167*/   14,15,224,31,240,63,248,127,252,248,124,240,60,240,0,240,0,240,0,240,0,240,60,248,124,127,252,63,248,31,240,15,224,     //  Ч     //  167</v>
      </c>
    </row>
    <row r="48" spans="1:19">
      <c r="A48">
        <v>168</v>
      </c>
      <c r="B48" t="s">
        <v>71</v>
      </c>
      <c r="C48" t="s">
        <v>72</v>
      </c>
      <c r="E48" t="str">
        <f>ЧШЩ!AB28</f>
        <v>12,255,240,255,240,255,240,255,240,143,16,15,0,15,0,15,0,15,0,15,0,15,0,15,0,15,0,15,0,15,0,15,0,     //  Ш     //  168</v>
      </c>
      <c r="S48" t="str">
        <f t="shared" si="0"/>
        <v>/*168*/   12,255,240,255,240,255,240,255,240,143,16,15,0,15,0,15,0,15,0,15,0,15,0,15,0,15,0,15,0,15,0,15,0,     //  Ш     //  168</v>
      </c>
    </row>
    <row r="49" spans="1:19">
      <c r="A49">
        <v>169</v>
      </c>
      <c r="B49" t="s">
        <v>71</v>
      </c>
      <c r="C49" t="s">
        <v>72</v>
      </c>
      <c r="E49" t="str">
        <f>ЧШЩ!BC28</f>
        <v>14,15,192,31,224,63,240,124,248,248,124,240,60,240,60,240,60,240,60,240,60,240,60,248,124,124,248,63,240,31,224,15,192,     //  Щ     //  169</v>
      </c>
      <c r="S49" t="str">
        <f t="shared" si="0"/>
        <v>/*169*/   14,15,192,31,224,63,240,124,248,248,124,240,60,240,60,240,60,240,60,240,60,240,60,248,124,124,248,63,240,31,224,15,192,     //  Щ     //  169</v>
      </c>
    </row>
    <row r="50" spans="1:19">
      <c r="A50">
        <v>170</v>
      </c>
      <c r="B50" t="s">
        <v>71</v>
      </c>
      <c r="C50" t="s">
        <v>72</v>
      </c>
      <c r="E50" t="str">
        <f>ЪЫЬ!A28</f>
        <v>12,255,240,255,240,255,240,255,240,240,240,240,240,240,240,240,240,240,240,240,240,240,240,240,240,240,240,240,240,240,240,240,240,     //  Ъ     //  170</v>
      </c>
      <c r="S50" t="str">
        <f t="shared" si="0"/>
        <v>/*170*/   12,255,240,255,240,255,240,255,240,240,240,240,240,240,240,240,240,240,240,240,240,240,240,240,240,240,240,240,240,240,240,240,240,     //  Ъ     //  170</v>
      </c>
    </row>
    <row r="51" spans="1:19">
      <c r="A51">
        <v>171</v>
      </c>
      <c r="B51" t="s">
        <v>71</v>
      </c>
      <c r="C51" t="s">
        <v>72</v>
      </c>
      <c r="E51" t="str">
        <f>ЪЫЬ!AB28</f>
        <v>15,0,48,0,72,0,132,0,132,1,50,2,48,2,48,4,48,8,48,8,48,16,48,32,48,32,48,64,0,128,48,255,182,     //  Ы     //  171</v>
      </c>
      <c r="S51" t="str">
        <f t="shared" si="0"/>
        <v>/*171*/   15,0,48,0,72,0,132,0,132,1,50,2,48,2,48,4,48,8,48,8,48,16,48,32,48,32,48,64,0,128,48,255,182,     //  Ы     //  171</v>
      </c>
    </row>
    <row r="52" spans="1:19">
      <c r="A52">
        <v>172</v>
      </c>
      <c r="B52" t="s">
        <v>71</v>
      </c>
      <c r="C52" t="s">
        <v>72</v>
      </c>
      <c r="E52" t="str">
        <f>ЪЫЬ!BC28</f>
        <v>7,0,0,0,0,0,0,0,0,0,0,128,0,128,0,64,0,32,0,32,0,16,0,8,0,8,0,4,0,2,0,254,0,     //  Ь     //  172</v>
      </c>
      <c r="S52" t="str">
        <f t="shared" si="0"/>
        <v>/*172*/   7,0,0,0,0,0,0,0,0,0,0,128,0,128,0,64,0,32,0,32,0,16,0,8,0,8,0,4,0,2,0,254,0,     //  Ь     //  172</v>
      </c>
    </row>
    <row r="53" spans="1:19">
      <c r="A53">
        <v>173</v>
      </c>
      <c r="B53" t="s">
        <v>71</v>
      </c>
      <c r="C53" t="s">
        <v>72</v>
      </c>
      <c r="E53" t="str">
        <f>ЭЮЯ!A28</f>
        <v>8,56,0,124,0,238,0,199,0,3,0,3,0,3,0,31,0,31,0,3,0,3,0,3,0,199,0,238,0,124,0,56,0,     //  Э     //  173</v>
      </c>
      <c r="S53" t="str">
        <f t="shared" si="0"/>
        <v>/*173*/   8,56,0,124,0,238,0,199,0,3,0,3,0,3,0,31,0,31,0,3,0,3,0,3,0,199,0,238,0,124,0,56,0,     //  Э     //  173</v>
      </c>
    </row>
    <row r="54" spans="1:19">
      <c r="A54">
        <v>174</v>
      </c>
      <c r="B54" t="s">
        <v>71</v>
      </c>
      <c r="C54" t="s">
        <v>72</v>
      </c>
      <c r="E54" t="str">
        <f>ЭЮЯ!AB28</f>
        <v>9,198,0,207,0,223,128,217,128,217,128,217,128,217,128,249,128,249,128,249,128,217,128,217,128,217,128,223,128,207,0,198,0,     //  Ю     //  174</v>
      </c>
      <c r="S54" t="str">
        <f t="shared" si="0"/>
        <v>/*174*/   9,198,0,207,0,223,128,217,128,217,128,217,128,217,128,249,128,249,128,249,128,217,128,217,128,217,128,223,128,207,0,198,0,     //  Ю     //  174</v>
      </c>
    </row>
    <row r="55" spans="1:19">
      <c r="A55">
        <v>175</v>
      </c>
      <c r="B55" t="s">
        <v>71</v>
      </c>
      <c r="C55" t="s">
        <v>72</v>
      </c>
      <c r="E55" t="str">
        <f>ЭЮЯ!BC28</f>
        <v>8,63,0,127,0,227,0,195,0,195,0,195,0,195,0,227,0,115,0,63,0,15,0,31,0,59,0,115,0,227,0,195,0,     //  Я     //  175</v>
      </c>
      <c r="S55" t="str">
        <f t="shared" si="0"/>
        <v>/*175*/   8,63,0,127,0,227,0,195,0,195,0,195,0,195,0,227,0,115,0,63,0,15,0,31,0,59,0,115,0,227,0,195,0,     //  Я     //  175</v>
      </c>
    </row>
    <row r="56" spans="1:19">
      <c r="A56">
        <v>176</v>
      </c>
      <c r="B56" t="s">
        <v>71</v>
      </c>
      <c r="C56" t="s">
        <v>72</v>
      </c>
      <c r="E56" t="str">
        <f>абв!A28</f>
        <v>8,0,0,0,0,0,0,0,0,60,0,126,0,198,0,134,0,6,0,62,0,126,0,198,0,198,0,230,0,126,0,59,0,     //  а     //  176</v>
      </c>
      <c r="S56" t="str">
        <f t="shared" si="0"/>
        <v>/*176*/   8,0,0,0,0,0,0,0,0,60,0,126,0,198,0,134,0,6,0,62,0,126,0,198,0,198,0,230,0,126,0,59,0,     //  а     //  176</v>
      </c>
    </row>
    <row r="57" spans="1:19">
      <c r="A57">
        <v>177</v>
      </c>
      <c r="B57" t="s">
        <v>71</v>
      </c>
      <c r="C57" t="s">
        <v>72</v>
      </c>
      <c r="E57" t="str">
        <f>абв!AB28</f>
        <v>7,0,0,0,0,0,0,0,0,254,0,254,0,192,0,192,0,248,0,252,0,206,0,198,0,198,0,206,0,252,0,120,0,     //  б     //  177</v>
      </c>
      <c r="S57" t="str">
        <f t="shared" si="0"/>
        <v>/*177*/   7,0,0,0,0,0,0,0,0,254,0,254,0,192,0,192,0,248,0,252,0,206,0,198,0,198,0,206,0,252,0,120,0,     //  б     //  177</v>
      </c>
    </row>
    <row r="58" spans="1:19">
      <c r="A58">
        <v>178</v>
      </c>
      <c r="B58" t="s">
        <v>71</v>
      </c>
      <c r="C58" t="s">
        <v>72</v>
      </c>
      <c r="E58" t="str">
        <f>абв!BC28</f>
        <v>7,0,0,0,0,0,0,0,0,248,0,252,0,206,0,198,0,204,0,248,0,252,0,206,0,198,0,206,0,254,0,252,0,     //  в     //  178</v>
      </c>
      <c r="S58" t="str">
        <f t="shared" si="0"/>
        <v>/*178*/   7,0,0,0,0,0,0,0,0,248,0,252,0,206,0,198,0,204,0,248,0,252,0,206,0,198,0,206,0,254,0,252,0,     //  в     //  178</v>
      </c>
    </row>
    <row r="59" spans="1:19">
      <c r="A59">
        <v>179</v>
      </c>
      <c r="B59" t="s">
        <v>71</v>
      </c>
      <c r="C59" t="s">
        <v>72</v>
      </c>
      <c r="E59" t="str">
        <f>где!A28</f>
        <v>6,0,0,0,0,0,0,0,0,252,0,252,0,252,0,196,0,192,0,192,0,192,0,192,0,192,0,192,0,192,0,192,0,     //  г     //  179</v>
      </c>
      <c r="S59" t="str">
        <f t="shared" si="0"/>
        <v>/*179*/   6,0,0,0,0,0,0,0,0,252,0,252,0,252,0,196,0,192,0,192,0,192,0,192,0,192,0,192,0,192,0,192,0,     //  г     //  179</v>
      </c>
    </row>
    <row r="60" spans="1:19">
      <c r="A60">
        <v>180</v>
      </c>
      <c r="B60" t="s">
        <v>71</v>
      </c>
      <c r="C60" t="s">
        <v>72</v>
      </c>
      <c r="E60" t="str">
        <f>где!AB28</f>
        <v>8,0,0,0,0,0,0,0,0,14,0,30,0,54,0,38,0,102,0,102,0,102,0,102,0,102,0,126,0,255,0,195,0,     //  д     //  180</v>
      </c>
      <c r="S60" t="str">
        <f t="shared" si="0"/>
        <v>/*180*/   8,0,0,0,0,0,0,0,0,14,0,30,0,54,0,38,0,102,0,102,0,102,0,102,0,102,0,126,0,255,0,195,0,     //  д     //  180</v>
      </c>
    </row>
    <row r="61" spans="1:19">
      <c r="A61">
        <v>181</v>
      </c>
      <c r="B61" t="s">
        <v>71</v>
      </c>
      <c r="C61" t="s">
        <v>72</v>
      </c>
      <c r="E61" t="str">
        <f>где!BC28</f>
        <v>7,0,0,0,0,0,0,0,0,56,0,124,0,238,0,198,0,198,0,254,0,254,0,192,0,192,0,230,0,124,0,56,0,     //  е     //  181</v>
      </c>
      <c r="S61" t="str">
        <f t="shared" si="0"/>
        <v>/*181*/   7,0,0,0,0,0,0,0,0,56,0,124,0,238,0,198,0,198,0,254,0,254,0,192,0,192,0,230,0,124,0,56,0,     //  е     //  181</v>
      </c>
    </row>
    <row r="62" spans="1:19">
      <c r="A62">
        <v>182</v>
      </c>
      <c r="B62" t="s">
        <v>71</v>
      </c>
      <c r="C62" t="s">
        <v>72</v>
      </c>
      <c r="E62" t="str">
        <f>жзи!A28</f>
        <v>10,0,0,0,0,0,0,0,0,204,192,204,192,204,192,204,192,109,128,63,0,30,0,63,0,109,128,204,192,204,192,204,192,     //  ж     //  182</v>
      </c>
      <c r="S62" t="str">
        <f t="shared" si="0"/>
        <v>/*182*/   10,0,0,0,0,0,0,0,0,204,192,204,192,204,192,204,192,109,128,63,0,30,0,63,0,109,128,204,192,204,192,204,192,     //  ж     //  182</v>
      </c>
    </row>
    <row r="63" spans="1:19">
      <c r="A63">
        <v>183</v>
      </c>
      <c r="B63" t="s">
        <v>71</v>
      </c>
      <c r="C63" t="s">
        <v>72</v>
      </c>
      <c r="E63" t="str">
        <f>жзи!AB28</f>
        <v>7,0,0,0,0,0,0,0,0,56,0,124,0,206,0,198,0,12,0,24,0,28,0,6,0,198,0,206,0,124,0,56,0,     //  з     //  183</v>
      </c>
      <c r="S63" t="str">
        <f t="shared" si="0"/>
        <v>/*183*/   7,0,0,0,0,0,0,0,0,56,0,124,0,206,0,198,0,12,0,24,0,28,0,6,0,198,0,206,0,124,0,56,0,     //  з     //  183</v>
      </c>
    </row>
    <row r="64" spans="1:19">
      <c r="A64">
        <v>184</v>
      </c>
      <c r="B64" t="s">
        <v>71</v>
      </c>
      <c r="C64" t="s">
        <v>72</v>
      </c>
      <c r="E64" t="str">
        <f>жзи!BC28</f>
        <v>7,0,0,0,0,0,0,0,0,198,0,198,0,198,0,198,0,198,0,206,0,206,0,214,0,214,0,230,0,230,0,198,0,     //  и     //  184</v>
      </c>
      <c r="S64" t="str">
        <f t="shared" si="0"/>
        <v>/*184*/   7,0,0,0,0,0,0,0,0,198,0,198,0,198,0,198,0,198,0,206,0,206,0,214,0,214,0,230,0,230,0,198,0,     //  и     //  184</v>
      </c>
    </row>
    <row r="65" spans="1:19">
      <c r="A65">
        <v>185</v>
      </c>
      <c r="B65" t="s">
        <v>71</v>
      </c>
      <c r="C65" t="s">
        <v>72</v>
      </c>
      <c r="E65" t="str">
        <f>йкл!A28</f>
        <v>7,0,0,0,0,0,0,0,0,56,0,0,0,198,0,198,0,198,0,206,0,206,0,214,0,214,0,230,0,230,0,198,0,     //  й     //  185</v>
      </c>
      <c r="S65" t="str">
        <f t="shared" si="0"/>
        <v>/*185*/   7,0,0,0,0,0,0,0,0,56,0,0,0,198,0,198,0,198,0,206,0,206,0,214,0,214,0,230,0,230,0,198,0,     //  й     //  185</v>
      </c>
    </row>
    <row r="66" spans="1:19">
      <c r="A66">
        <v>186</v>
      </c>
      <c r="B66" t="s">
        <v>71</v>
      </c>
      <c r="C66" t="s">
        <v>72</v>
      </c>
      <c r="E66" t="str">
        <f>йкл!AB28</f>
        <v>7,0,0,0,0,0,0,0,0,198,0,198,0,198,0,204,0,216,0,240,0,240,0,216,0,204,0,198,0,198,0,198,0,     //  к     //  186</v>
      </c>
      <c r="S66" t="str">
        <f t="shared" si="0"/>
        <v>/*186*/   7,0,0,0,0,0,0,0,0,198,0,198,0,198,0,204,0,216,0,240,0,240,0,216,0,204,0,198,0,198,0,198,0,     //  к     //  186</v>
      </c>
    </row>
    <row r="67" spans="1:19">
      <c r="A67">
        <v>187</v>
      </c>
      <c r="B67" t="s">
        <v>71</v>
      </c>
      <c r="C67" t="s">
        <v>72</v>
      </c>
      <c r="E67" t="str">
        <f>йкл!BC28</f>
        <v>7,0,0,0,0,0,0,0,0,6,0,6,0,14,0,14,0,30,0,22,0,54,0,38,0,102,0,70,0,198,0,198,0,     //  л     //  187</v>
      </c>
      <c r="S67" t="str">
        <f t="shared" si="0"/>
        <v>/*187*/   7,0,0,0,0,0,0,0,0,6,0,6,0,14,0,14,0,30,0,22,0,54,0,38,0,102,0,70,0,198,0,198,0,     //  л     //  187</v>
      </c>
    </row>
    <row r="68" spans="1:19">
      <c r="A68">
        <v>188</v>
      </c>
      <c r="B68" t="s">
        <v>71</v>
      </c>
      <c r="C68" t="s">
        <v>72</v>
      </c>
      <c r="E68" t="str">
        <f>мно!A28</f>
        <v>10,0,0,0,0,0,0,0,0,192,192,192,192,225,192,225,192,243,192,210,192,222,192,204,192,204,192,192,192,192,192,192,192,     //  м     //  188</v>
      </c>
      <c r="S68" t="str">
        <f t="shared" si="0"/>
        <v>/*188*/   10,0,0,0,0,0,0,0,0,192,192,192,192,225,192,225,192,243,192,210,192,222,192,204,192,204,192,192,192,192,192,192,192,     //  м     //  188</v>
      </c>
    </row>
    <row r="69" spans="1:19">
      <c r="A69">
        <v>189</v>
      </c>
      <c r="B69" t="s">
        <v>71</v>
      </c>
      <c r="C69" t="s">
        <v>72</v>
      </c>
      <c r="E69" t="str">
        <f>мно!AB28</f>
        <v>7,0,0,0,0,0,0,0,0,198,0,198,0,198,0,198,0,198,0,198,0,254,0,254,0,198,0,198,0,198,0,198,0,     //  н     //  189</v>
      </c>
      <c r="S69" t="str">
        <f t="shared" si="0"/>
        <v>/*189*/   7,0,0,0,0,0,0,0,0,198,0,198,0,198,0,198,0,198,0,198,0,254,0,254,0,198,0,198,0,198,0,198,0,     //  н     //  189</v>
      </c>
    </row>
    <row r="70" spans="1:19">
      <c r="A70">
        <v>190</v>
      </c>
      <c r="B70" t="s">
        <v>71</v>
      </c>
      <c r="C70" t="s">
        <v>72</v>
      </c>
      <c r="E70" t="str">
        <f>мно!AB28</f>
        <v>7,0,0,0,0,0,0,0,0,198,0,198,0,198,0,198,0,198,0,198,0,254,0,254,0,198,0,198,0,198,0,198,0,     //  н     //  189</v>
      </c>
      <c r="S70" t="str">
        <f t="shared" si="0"/>
        <v>/*190*/   7,0,0,0,0,0,0,0,0,198,0,198,0,198,0,198,0,198,0,198,0,254,0,254,0,198,0,198,0,198,0,198,0,     //  н     //  189</v>
      </c>
    </row>
    <row r="71" spans="1:19">
      <c r="A71">
        <v>191</v>
      </c>
      <c r="B71" t="s">
        <v>71</v>
      </c>
      <c r="C71" t="s">
        <v>72</v>
      </c>
      <c r="E71" t="str">
        <f>мно!BC28</f>
        <v>7,0,0,0,0,0,0,0,0,56,0,124,0,238,0,198,0,198,0,198,0,198,0,198,0,198,0,238,0,124,0,56,0,     //  о     //  190</v>
      </c>
      <c r="S71" t="str">
        <f t="shared" si="0"/>
        <v>/*191*/   7,0,0,0,0,0,0,0,0,56,0,124,0,238,0,198,0,198,0,198,0,198,0,198,0,198,0,238,0,124,0,56,0,     //  о     //  190</v>
      </c>
    </row>
    <row r="72" spans="1:19">
      <c r="A72">
        <v>192</v>
      </c>
      <c r="B72" t="s">
        <v>71</v>
      </c>
      <c r="C72" t="s">
        <v>72</v>
      </c>
      <c r="E72" t="str">
        <f>пххх!A28</f>
        <v>7,0,0,0,0,0,0,0,0,254,0,254,0,254,0,198,0,198,0,198,0,198,0,198,0,198,0,198,0,198,0,198,0,     //  п     //  191</v>
      </c>
      <c r="S72" t="str">
        <f t="shared" si="0"/>
        <v>/*192*/   7,0,0,0,0,0,0,0,0,254,0,254,0,254,0,198,0,198,0,198,0,198,0,198,0,198,0,198,0,198,0,198,0,     //  п     //  191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>
    <pageSetUpPr fitToPage="1"/>
  </sheetPr>
  <dimension ref="C2:AL42"/>
  <sheetViews>
    <sheetView topLeftCell="A2" workbookViewId="0">
      <selection activeCell="E3" sqref="E3"/>
    </sheetView>
  </sheetViews>
  <sheetFormatPr defaultRowHeight="15"/>
  <cols>
    <col min="5" max="6" width="11.85546875" customWidth="1"/>
    <col min="7" max="7" width="6.140625" customWidth="1"/>
    <col min="8" max="8" width="6.42578125" customWidth="1"/>
    <col min="9" max="9" width="7" customWidth="1"/>
    <col min="10" max="10" width="6.5703125" customWidth="1"/>
    <col min="11" max="11" width="7.140625" customWidth="1"/>
    <col min="12" max="12" width="7.28515625" customWidth="1"/>
    <col min="13" max="13" width="7.140625" customWidth="1"/>
    <col min="14" max="14" width="7.42578125" customWidth="1"/>
    <col min="15" max="15" width="12.85546875" customWidth="1"/>
    <col min="16" max="16" width="3.5703125" customWidth="1"/>
    <col min="17" max="18" width="4" customWidth="1"/>
    <col min="19" max="19" width="3.85546875" customWidth="1"/>
    <col min="20" max="20" width="4" customWidth="1"/>
    <col min="21" max="21" width="3.7109375" customWidth="1"/>
    <col min="22" max="22" width="3.5703125" customWidth="1"/>
    <col min="23" max="25" width="3.28515625" customWidth="1"/>
    <col min="26" max="28" width="3.42578125" customWidth="1"/>
    <col min="29" max="29" width="3.140625" customWidth="1"/>
    <col min="30" max="30" width="3.42578125" customWidth="1"/>
    <col min="31" max="31" width="3.5703125" customWidth="1"/>
    <col min="32" max="37" width="12.85546875" customWidth="1"/>
  </cols>
  <sheetData>
    <row r="2" spans="3:38">
      <c r="E2" t="s">
        <v>74</v>
      </c>
    </row>
    <row r="3" spans="3:38">
      <c r="E3" t="s">
        <v>74</v>
      </c>
    </row>
    <row r="4" spans="3:38">
      <c r="E4" t="s">
        <v>74</v>
      </c>
    </row>
    <row r="6" spans="3:38">
      <c r="E6" t="s">
        <v>75</v>
      </c>
      <c r="F6" t="s">
        <v>84</v>
      </c>
      <c r="G6" t="s">
        <v>77</v>
      </c>
      <c r="H6" t="s">
        <v>78</v>
      </c>
      <c r="I6" t="s">
        <v>77</v>
      </c>
      <c r="J6" t="s">
        <v>79</v>
      </c>
      <c r="K6" t="s">
        <v>77</v>
      </c>
      <c r="L6" t="s">
        <v>79</v>
      </c>
      <c r="M6" t="s">
        <v>77</v>
      </c>
      <c r="N6" t="s">
        <v>80</v>
      </c>
      <c r="O6" t="s">
        <v>77</v>
      </c>
      <c r="P6" t="s">
        <v>80</v>
      </c>
      <c r="Q6" t="s">
        <v>77</v>
      </c>
      <c r="R6" t="s">
        <v>79</v>
      </c>
      <c r="S6" t="s">
        <v>77</v>
      </c>
      <c r="T6" t="s">
        <v>79</v>
      </c>
      <c r="U6" t="s">
        <v>77</v>
      </c>
      <c r="V6" t="s">
        <v>79</v>
      </c>
      <c r="W6" t="s">
        <v>77</v>
      </c>
      <c r="X6" t="s">
        <v>79</v>
      </c>
      <c r="Y6" t="s">
        <v>77</v>
      </c>
      <c r="Z6" t="s">
        <v>79</v>
      </c>
      <c r="AA6" t="s">
        <v>77</v>
      </c>
      <c r="AB6" t="s">
        <v>79</v>
      </c>
      <c r="AC6" t="s">
        <v>77</v>
      </c>
      <c r="AD6" t="s">
        <v>79</v>
      </c>
      <c r="AE6" t="s">
        <v>77</v>
      </c>
      <c r="AF6" t="s">
        <v>79</v>
      </c>
      <c r="AG6" t="s">
        <v>77</v>
      </c>
      <c r="AH6" t="s">
        <v>81</v>
      </c>
      <c r="AI6" t="s">
        <v>77</v>
      </c>
      <c r="AJ6" t="s">
        <v>82</v>
      </c>
      <c r="AK6" t="s">
        <v>77</v>
      </c>
      <c r="AL6" t="s">
        <v>83</v>
      </c>
    </row>
    <row r="7" spans="3:38">
      <c r="F7" s="5"/>
      <c r="G7" s="5">
        <v>9</v>
      </c>
      <c r="H7" s="5">
        <v>10</v>
      </c>
      <c r="I7" s="5">
        <v>11</v>
      </c>
      <c r="J7" s="5">
        <v>12</v>
      </c>
      <c r="K7" s="5">
        <v>13</v>
      </c>
      <c r="L7" s="5">
        <v>14</v>
      </c>
      <c r="M7" s="5">
        <v>15</v>
      </c>
      <c r="N7" s="5">
        <v>16</v>
      </c>
    </row>
    <row r="8" spans="3:38">
      <c r="D8" t="s">
        <v>75</v>
      </c>
      <c r="E8" t="str">
        <f>LEFT(D8,2)</f>
        <v xml:space="preserve">  </v>
      </c>
      <c r="F8" s="5"/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/>
      <c r="P8" s="5">
        <v>1</v>
      </c>
      <c r="Q8" s="5">
        <v>2</v>
      </c>
      <c r="R8" s="5">
        <v>3</v>
      </c>
      <c r="S8" s="5">
        <v>4</v>
      </c>
      <c r="T8" s="5">
        <v>5</v>
      </c>
      <c r="U8" s="5">
        <v>6</v>
      </c>
      <c r="V8" s="5">
        <v>7</v>
      </c>
      <c r="W8" s="5">
        <v>8</v>
      </c>
      <c r="X8" s="5">
        <v>9</v>
      </c>
      <c r="Y8" s="5">
        <v>10</v>
      </c>
      <c r="Z8" s="5">
        <v>11</v>
      </c>
      <c r="AA8" s="5">
        <v>12</v>
      </c>
      <c r="AB8" s="5">
        <v>13</v>
      </c>
      <c r="AC8" s="5">
        <v>14</v>
      </c>
      <c r="AD8" s="5">
        <v>15</v>
      </c>
      <c r="AE8" s="5">
        <v>16</v>
      </c>
      <c r="AF8" s="5"/>
    </row>
    <row r="9" spans="3:38">
      <c r="C9">
        <v>1</v>
      </c>
      <c r="D9" t="s">
        <v>76</v>
      </c>
      <c r="E9">
        <v>8</v>
      </c>
      <c r="F9" s="5" t="str">
        <f>HEX2BIN(E9,8)</f>
        <v>00001000</v>
      </c>
      <c r="G9" s="5" t="str">
        <f>MID(F9,1,1)</f>
        <v>0</v>
      </c>
      <c r="H9" s="5" t="str">
        <f>MID(F9,2,1)</f>
        <v>0</v>
      </c>
      <c r="I9" s="5" t="str">
        <f>MID(F9,3,1)</f>
        <v>0</v>
      </c>
      <c r="J9" s="5" t="str">
        <f>MID(F9,4,1)</f>
        <v>0</v>
      </c>
      <c r="K9" s="5" t="str">
        <f>MID(F9,5,1)</f>
        <v>1</v>
      </c>
      <c r="L9" s="5" t="str">
        <f>MID(F9,6,1)</f>
        <v>0</v>
      </c>
      <c r="M9" s="5" t="str">
        <f>MID(F9,7,1)</f>
        <v>0</v>
      </c>
      <c r="N9" s="5" t="str">
        <f>MID(F9,8,1)</f>
        <v>0</v>
      </c>
      <c r="O9" s="5">
        <v>1</v>
      </c>
      <c r="P9" s="5" t="str">
        <f>G9</f>
        <v>0</v>
      </c>
      <c r="Q9" s="5" t="str">
        <f t="shared" ref="Q9:W9" si="0">H9</f>
        <v>0</v>
      </c>
      <c r="R9" s="5" t="str">
        <f t="shared" si="0"/>
        <v>0</v>
      </c>
      <c r="S9" s="5" t="str">
        <f t="shared" si="0"/>
        <v>0</v>
      </c>
      <c r="T9" s="5" t="str">
        <f t="shared" si="0"/>
        <v>1</v>
      </c>
      <c r="U9" s="5" t="str">
        <f t="shared" si="0"/>
        <v>0</v>
      </c>
      <c r="V9" s="5" t="str">
        <f t="shared" si="0"/>
        <v>0</v>
      </c>
      <c r="W9" s="5" t="str">
        <f t="shared" si="0"/>
        <v>0</v>
      </c>
      <c r="X9" s="5" t="str">
        <f>G10</f>
        <v>0</v>
      </c>
      <c r="Y9" s="5" t="str">
        <f>H10</f>
        <v>0</v>
      </c>
      <c r="Z9" s="5" t="str">
        <f t="shared" ref="Z9:AE9" si="1">I10</f>
        <v>0</v>
      </c>
      <c r="AA9" s="5" t="str">
        <f t="shared" si="1"/>
        <v>0</v>
      </c>
      <c r="AB9" s="5" t="str">
        <f t="shared" si="1"/>
        <v>0</v>
      </c>
      <c r="AC9" s="5" t="str">
        <f t="shared" si="1"/>
        <v>0</v>
      </c>
      <c r="AD9" s="5" t="str">
        <f t="shared" si="1"/>
        <v>0</v>
      </c>
      <c r="AE9" s="5" t="str">
        <f t="shared" si="1"/>
        <v>0</v>
      </c>
      <c r="AF9" s="5">
        <v>2</v>
      </c>
    </row>
    <row r="10" spans="3:38">
      <c r="C10">
        <v>2</v>
      </c>
      <c r="D10" t="s">
        <v>77</v>
      </c>
      <c r="E10" t="str">
        <f t="shared" ref="E10:E40" si="2">RIGHT(D10,2)</f>
        <v>00</v>
      </c>
      <c r="F10" s="5" t="str">
        <f t="shared" ref="F10:F40" si="3">HEX2BIN(E10,8)</f>
        <v>00000000</v>
      </c>
      <c r="G10" s="5" t="str">
        <f t="shared" ref="G10:G40" si="4">MID(F10,1,1)</f>
        <v>0</v>
      </c>
      <c r="H10" s="5" t="str">
        <f t="shared" ref="H10:H40" si="5">MID(F10,2,1)</f>
        <v>0</v>
      </c>
      <c r="I10" s="5" t="str">
        <f t="shared" ref="I10:I40" si="6">MID(F10,3,1)</f>
        <v>0</v>
      </c>
      <c r="J10" s="5" t="str">
        <f t="shared" ref="J10:J40" si="7">MID(F10,4,1)</f>
        <v>0</v>
      </c>
      <c r="K10" s="5" t="str">
        <f t="shared" ref="K10:K40" si="8">MID(F10,5,1)</f>
        <v>0</v>
      </c>
      <c r="L10" s="5" t="str">
        <f t="shared" ref="L10:L40" si="9">MID(F10,6,1)</f>
        <v>0</v>
      </c>
      <c r="M10" s="5" t="str">
        <f t="shared" ref="M10:M40" si="10">MID(F10,7,1)</f>
        <v>0</v>
      </c>
      <c r="N10" s="5" t="str">
        <f t="shared" ref="N10:N40" si="11">MID(F10,8,1)</f>
        <v>0</v>
      </c>
      <c r="O10" s="5">
        <v>3</v>
      </c>
      <c r="P10" s="5" t="str">
        <f>G11</f>
        <v>0</v>
      </c>
      <c r="Q10" s="5" t="str">
        <f>H11</f>
        <v>0</v>
      </c>
      <c r="R10" s="5" t="str">
        <f t="shared" ref="R10:W10" si="12">I11</f>
        <v>0</v>
      </c>
      <c r="S10" s="5" t="str">
        <f t="shared" si="12"/>
        <v>1</v>
      </c>
      <c r="T10" s="5" t="str">
        <f t="shared" si="12"/>
        <v>1</v>
      </c>
      <c r="U10" s="5" t="str">
        <f t="shared" si="12"/>
        <v>0</v>
      </c>
      <c r="V10" s="5" t="str">
        <f t="shared" si="12"/>
        <v>0</v>
      </c>
      <c r="W10" s="5" t="str">
        <f t="shared" si="12"/>
        <v>0</v>
      </c>
      <c r="X10" s="5" t="str">
        <f>G12</f>
        <v>0</v>
      </c>
      <c r="Y10" s="5" t="str">
        <f>H12</f>
        <v>0</v>
      </c>
      <c r="Z10" s="5" t="str">
        <f t="shared" ref="Z10:AE10" si="13">I12</f>
        <v>0</v>
      </c>
      <c r="AA10" s="5" t="str">
        <f t="shared" si="13"/>
        <v>0</v>
      </c>
      <c r="AB10" s="5" t="str">
        <f t="shared" si="13"/>
        <v>0</v>
      </c>
      <c r="AC10" s="5" t="str">
        <f t="shared" si="13"/>
        <v>0</v>
      </c>
      <c r="AD10" s="5" t="str">
        <f t="shared" si="13"/>
        <v>0</v>
      </c>
      <c r="AE10" s="5" t="str">
        <f t="shared" si="13"/>
        <v>0</v>
      </c>
      <c r="AF10" s="5">
        <v>4</v>
      </c>
    </row>
    <row r="11" spans="3:38">
      <c r="C11">
        <v>3</v>
      </c>
      <c r="D11" t="s">
        <v>78</v>
      </c>
      <c r="E11" t="str">
        <f t="shared" si="2"/>
        <v>18</v>
      </c>
      <c r="F11" s="5" t="str">
        <f t="shared" si="3"/>
        <v>00011000</v>
      </c>
      <c r="G11" s="5" t="str">
        <f t="shared" si="4"/>
        <v>0</v>
      </c>
      <c r="H11" s="5" t="str">
        <f t="shared" si="5"/>
        <v>0</v>
      </c>
      <c r="I11" s="5" t="str">
        <f t="shared" si="6"/>
        <v>0</v>
      </c>
      <c r="J11" s="5" t="str">
        <f t="shared" si="7"/>
        <v>1</v>
      </c>
      <c r="K11" s="5" t="str">
        <f t="shared" si="8"/>
        <v>1</v>
      </c>
      <c r="L11" s="5" t="str">
        <f t="shared" si="9"/>
        <v>0</v>
      </c>
      <c r="M11" s="5" t="str">
        <f t="shared" si="10"/>
        <v>0</v>
      </c>
      <c r="N11" s="5" t="str">
        <f t="shared" si="11"/>
        <v>0</v>
      </c>
      <c r="O11" s="5">
        <v>5</v>
      </c>
      <c r="P11" s="5" t="str">
        <f>G13</f>
        <v>0</v>
      </c>
      <c r="Q11" s="5" t="str">
        <f>H13</f>
        <v>0</v>
      </c>
      <c r="R11" s="5" t="str">
        <f t="shared" ref="R11:W11" si="14">I13</f>
        <v>1</v>
      </c>
      <c r="S11" s="5" t="str">
        <f t="shared" si="14"/>
        <v>1</v>
      </c>
      <c r="T11" s="5" t="str">
        <f t="shared" si="14"/>
        <v>1</v>
      </c>
      <c r="U11" s="5" t="str">
        <f t="shared" si="14"/>
        <v>0</v>
      </c>
      <c r="V11" s="5" t="str">
        <f t="shared" si="14"/>
        <v>0</v>
      </c>
      <c r="W11" s="5" t="str">
        <f t="shared" si="14"/>
        <v>0</v>
      </c>
      <c r="X11" s="5" t="str">
        <f>G14</f>
        <v>0</v>
      </c>
      <c r="Y11" s="5" t="str">
        <f>H14</f>
        <v>0</v>
      </c>
      <c r="Z11" s="5" t="str">
        <f t="shared" ref="Z11:AE11" si="15">I14</f>
        <v>0</v>
      </c>
      <c r="AA11" s="5" t="str">
        <f t="shared" si="15"/>
        <v>0</v>
      </c>
      <c r="AB11" s="5" t="str">
        <f t="shared" si="15"/>
        <v>0</v>
      </c>
      <c r="AC11" s="5" t="str">
        <f t="shared" si="15"/>
        <v>0</v>
      </c>
      <c r="AD11" s="5" t="str">
        <f t="shared" si="15"/>
        <v>0</v>
      </c>
      <c r="AE11" s="5" t="str">
        <f t="shared" si="15"/>
        <v>0</v>
      </c>
      <c r="AF11" s="5">
        <v>6</v>
      </c>
    </row>
    <row r="12" spans="3:38">
      <c r="C12">
        <v>4</v>
      </c>
      <c r="D12" t="s">
        <v>77</v>
      </c>
      <c r="E12" t="str">
        <f t="shared" si="2"/>
        <v>00</v>
      </c>
      <c r="F12" s="5" t="str">
        <f t="shared" si="3"/>
        <v>00000000</v>
      </c>
      <c r="G12" s="5" t="str">
        <f t="shared" si="4"/>
        <v>0</v>
      </c>
      <c r="H12" s="5" t="str">
        <f t="shared" si="5"/>
        <v>0</v>
      </c>
      <c r="I12" s="5" t="str">
        <f t="shared" si="6"/>
        <v>0</v>
      </c>
      <c r="J12" s="5" t="str">
        <f t="shared" si="7"/>
        <v>0</v>
      </c>
      <c r="K12" s="5" t="str">
        <f t="shared" si="8"/>
        <v>0</v>
      </c>
      <c r="L12" s="5" t="str">
        <f t="shared" si="9"/>
        <v>0</v>
      </c>
      <c r="M12" s="5" t="str">
        <f t="shared" si="10"/>
        <v>0</v>
      </c>
      <c r="N12" s="5" t="str">
        <f t="shared" si="11"/>
        <v>0</v>
      </c>
      <c r="O12" s="5">
        <v>7</v>
      </c>
      <c r="P12" s="5" t="str">
        <f>G15</f>
        <v>0</v>
      </c>
      <c r="Q12" s="5" t="str">
        <f>H15</f>
        <v>0</v>
      </c>
      <c r="R12" s="5" t="str">
        <f t="shared" ref="R12:W12" si="16">I15</f>
        <v>1</v>
      </c>
      <c r="S12" s="5" t="str">
        <f t="shared" si="16"/>
        <v>1</v>
      </c>
      <c r="T12" s="5" t="str">
        <f t="shared" si="16"/>
        <v>1</v>
      </c>
      <c r="U12" s="5" t="str">
        <f t="shared" si="16"/>
        <v>0</v>
      </c>
      <c r="V12" s="5" t="str">
        <f t="shared" si="16"/>
        <v>0</v>
      </c>
      <c r="W12" s="5" t="str">
        <f t="shared" si="16"/>
        <v>0</v>
      </c>
      <c r="X12" s="5" t="str">
        <f>G16</f>
        <v>0</v>
      </c>
      <c r="Y12" s="5" t="str">
        <f>H16</f>
        <v>0</v>
      </c>
      <c r="Z12" s="5" t="str">
        <f t="shared" ref="Z12:AE12" si="17">I16</f>
        <v>0</v>
      </c>
      <c r="AA12" s="5" t="str">
        <f t="shared" si="17"/>
        <v>0</v>
      </c>
      <c r="AB12" s="5" t="str">
        <f t="shared" si="17"/>
        <v>0</v>
      </c>
      <c r="AC12" s="5" t="str">
        <f t="shared" si="17"/>
        <v>0</v>
      </c>
      <c r="AD12" s="5" t="str">
        <f t="shared" si="17"/>
        <v>0</v>
      </c>
      <c r="AE12" s="5" t="str">
        <f t="shared" si="17"/>
        <v>0</v>
      </c>
      <c r="AF12" s="5">
        <v>8</v>
      </c>
    </row>
    <row r="13" spans="3:38">
      <c r="C13">
        <v>5</v>
      </c>
      <c r="D13" t="s">
        <v>79</v>
      </c>
      <c r="E13" t="str">
        <f t="shared" si="2"/>
        <v>38</v>
      </c>
      <c r="F13" s="5" t="str">
        <f t="shared" si="3"/>
        <v>00111000</v>
      </c>
      <c r="G13" s="5" t="str">
        <f t="shared" si="4"/>
        <v>0</v>
      </c>
      <c r="H13" s="5" t="str">
        <f t="shared" si="5"/>
        <v>0</v>
      </c>
      <c r="I13" s="5" t="str">
        <f t="shared" si="6"/>
        <v>1</v>
      </c>
      <c r="J13" s="5" t="str">
        <f t="shared" si="7"/>
        <v>1</v>
      </c>
      <c r="K13" s="5" t="str">
        <f t="shared" si="8"/>
        <v>1</v>
      </c>
      <c r="L13" s="5" t="str">
        <f t="shared" si="9"/>
        <v>0</v>
      </c>
      <c r="M13" s="5" t="str">
        <f t="shared" si="10"/>
        <v>0</v>
      </c>
      <c r="N13" s="5" t="str">
        <f t="shared" si="11"/>
        <v>0</v>
      </c>
      <c r="O13" s="5">
        <v>9</v>
      </c>
      <c r="P13" s="5" t="str">
        <f>G17</f>
        <v>1</v>
      </c>
      <c r="Q13" s="5" t="str">
        <f>H17</f>
        <v>1</v>
      </c>
      <c r="R13" s="5" t="str">
        <f t="shared" ref="R13:W13" si="18">I17</f>
        <v>1</v>
      </c>
      <c r="S13" s="5" t="str">
        <f t="shared" si="18"/>
        <v>1</v>
      </c>
      <c r="T13" s="5" t="str">
        <f t="shared" si="18"/>
        <v>1</v>
      </c>
      <c r="U13" s="5" t="str">
        <f t="shared" si="18"/>
        <v>1</v>
      </c>
      <c r="V13" s="5" t="str">
        <f t="shared" si="18"/>
        <v>1</v>
      </c>
      <c r="W13" s="5" t="str">
        <f t="shared" si="18"/>
        <v>0</v>
      </c>
      <c r="X13" s="5" t="str">
        <f>G18</f>
        <v>0</v>
      </c>
      <c r="Y13" s="5" t="str">
        <f>H18</f>
        <v>0</v>
      </c>
      <c r="Z13" s="5" t="str">
        <f t="shared" ref="Z13:AE13" si="19">I18</f>
        <v>0</v>
      </c>
      <c r="AA13" s="5" t="str">
        <f t="shared" si="19"/>
        <v>0</v>
      </c>
      <c r="AB13" s="5" t="str">
        <f t="shared" si="19"/>
        <v>0</v>
      </c>
      <c r="AC13" s="5" t="str">
        <f t="shared" si="19"/>
        <v>0</v>
      </c>
      <c r="AD13" s="5" t="str">
        <f t="shared" si="19"/>
        <v>0</v>
      </c>
      <c r="AE13" s="5" t="str">
        <f t="shared" si="19"/>
        <v>0</v>
      </c>
      <c r="AF13" s="5">
        <v>10</v>
      </c>
    </row>
    <row r="14" spans="3:38">
      <c r="C14">
        <v>6</v>
      </c>
      <c r="D14" t="s">
        <v>77</v>
      </c>
      <c r="E14" t="str">
        <f t="shared" si="2"/>
        <v>00</v>
      </c>
      <c r="F14" s="5" t="str">
        <f t="shared" si="3"/>
        <v>00000000</v>
      </c>
      <c r="G14" s="5" t="str">
        <f t="shared" si="4"/>
        <v>0</v>
      </c>
      <c r="H14" s="5" t="str">
        <f t="shared" si="5"/>
        <v>0</v>
      </c>
      <c r="I14" s="5" t="str">
        <f t="shared" si="6"/>
        <v>0</v>
      </c>
      <c r="J14" s="5" t="str">
        <f t="shared" si="7"/>
        <v>0</v>
      </c>
      <c r="K14" s="5" t="str">
        <f t="shared" si="8"/>
        <v>0</v>
      </c>
      <c r="L14" s="5" t="str">
        <f t="shared" si="9"/>
        <v>0</v>
      </c>
      <c r="M14" s="5" t="str">
        <f t="shared" si="10"/>
        <v>0</v>
      </c>
      <c r="N14" s="5" t="str">
        <f t="shared" si="11"/>
        <v>0</v>
      </c>
      <c r="O14" s="5">
        <v>11</v>
      </c>
      <c r="P14" s="5" t="str">
        <f>G19</f>
        <v>1</v>
      </c>
      <c r="Q14" s="5" t="str">
        <f>H19</f>
        <v>1</v>
      </c>
      <c r="R14" s="5" t="str">
        <f t="shared" ref="R14:W14" si="20">I19</f>
        <v>1</v>
      </c>
      <c r="S14" s="5" t="str">
        <f t="shared" si="20"/>
        <v>1</v>
      </c>
      <c r="T14" s="5" t="str">
        <f t="shared" si="20"/>
        <v>1</v>
      </c>
      <c r="U14" s="5" t="str">
        <f t="shared" si="20"/>
        <v>1</v>
      </c>
      <c r="V14" s="5" t="str">
        <f t="shared" si="20"/>
        <v>1</v>
      </c>
      <c r="W14" s="5" t="str">
        <f t="shared" si="20"/>
        <v>0</v>
      </c>
      <c r="X14" s="5" t="str">
        <f>G20</f>
        <v>0</v>
      </c>
      <c r="Y14" s="5" t="str">
        <f>H20</f>
        <v>0</v>
      </c>
      <c r="Z14" s="5" t="str">
        <f t="shared" ref="Z14:AE14" si="21">I20</f>
        <v>0</v>
      </c>
      <c r="AA14" s="5" t="str">
        <f t="shared" si="21"/>
        <v>0</v>
      </c>
      <c r="AB14" s="5" t="str">
        <f t="shared" si="21"/>
        <v>0</v>
      </c>
      <c r="AC14" s="5" t="str">
        <f t="shared" si="21"/>
        <v>0</v>
      </c>
      <c r="AD14" s="5" t="str">
        <f t="shared" si="21"/>
        <v>0</v>
      </c>
      <c r="AE14" s="5" t="str">
        <f t="shared" si="21"/>
        <v>0</v>
      </c>
      <c r="AF14" s="5">
        <v>12</v>
      </c>
    </row>
    <row r="15" spans="3:38">
      <c r="C15">
        <v>7</v>
      </c>
      <c r="D15" t="s">
        <v>79</v>
      </c>
      <c r="E15" t="str">
        <f t="shared" si="2"/>
        <v>38</v>
      </c>
      <c r="F15" s="5" t="str">
        <f t="shared" si="3"/>
        <v>00111000</v>
      </c>
      <c r="G15" s="5" t="str">
        <f t="shared" si="4"/>
        <v>0</v>
      </c>
      <c r="H15" s="5" t="str">
        <f t="shared" si="5"/>
        <v>0</v>
      </c>
      <c r="I15" s="5" t="str">
        <f t="shared" si="6"/>
        <v>1</v>
      </c>
      <c r="J15" s="5" t="str">
        <f t="shared" si="7"/>
        <v>1</v>
      </c>
      <c r="K15" s="5" t="str">
        <f t="shared" si="8"/>
        <v>1</v>
      </c>
      <c r="L15" s="5" t="str">
        <f t="shared" si="9"/>
        <v>0</v>
      </c>
      <c r="M15" s="5" t="str">
        <f t="shared" si="10"/>
        <v>0</v>
      </c>
      <c r="N15" s="5" t="str">
        <f t="shared" si="11"/>
        <v>0</v>
      </c>
      <c r="O15" s="5">
        <v>13</v>
      </c>
      <c r="P15" s="5" t="str">
        <f>G21</f>
        <v>0</v>
      </c>
      <c r="Q15" s="5" t="str">
        <f>H21</f>
        <v>0</v>
      </c>
      <c r="R15" s="5" t="str">
        <f t="shared" ref="R15:W15" si="22">I21</f>
        <v>1</v>
      </c>
      <c r="S15" s="5" t="str">
        <f t="shared" si="22"/>
        <v>1</v>
      </c>
      <c r="T15" s="5" t="str">
        <f t="shared" si="22"/>
        <v>1</v>
      </c>
      <c r="U15" s="5" t="str">
        <f t="shared" si="22"/>
        <v>0</v>
      </c>
      <c r="V15" s="5" t="str">
        <f t="shared" si="22"/>
        <v>0</v>
      </c>
      <c r="W15" s="5" t="str">
        <f t="shared" si="22"/>
        <v>0</v>
      </c>
      <c r="X15" s="5" t="str">
        <f>G22</f>
        <v>0</v>
      </c>
      <c r="Y15" s="5" t="str">
        <f>H22</f>
        <v>0</v>
      </c>
      <c r="Z15" s="5" t="str">
        <f t="shared" ref="Z15:AE15" si="23">I22</f>
        <v>0</v>
      </c>
      <c r="AA15" s="5" t="str">
        <f t="shared" si="23"/>
        <v>0</v>
      </c>
      <c r="AB15" s="5" t="str">
        <f t="shared" si="23"/>
        <v>0</v>
      </c>
      <c r="AC15" s="5" t="str">
        <f t="shared" si="23"/>
        <v>0</v>
      </c>
      <c r="AD15" s="5" t="str">
        <f t="shared" si="23"/>
        <v>0</v>
      </c>
      <c r="AE15" s="5" t="str">
        <f t="shared" si="23"/>
        <v>0</v>
      </c>
      <c r="AF15" s="5">
        <v>14</v>
      </c>
    </row>
    <row r="16" spans="3:38">
      <c r="C16">
        <v>8</v>
      </c>
      <c r="D16" t="s">
        <v>77</v>
      </c>
      <c r="E16" t="str">
        <f t="shared" si="2"/>
        <v>00</v>
      </c>
      <c r="F16" s="5" t="str">
        <f t="shared" si="3"/>
        <v>00000000</v>
      </c>
      <c r="G16" s="5" t="str">
        <f t="shared" si="4"/>
        <v>0</v>
      </c>
      <c r="H16" s="5" t="str">
        <f t="shared" si="5"/>
        <v>0</v>
      </c>
      <c r="I16" s="5" t="str">
        <f t="shared" si="6"/>
        <v>0</v>
      </c>
      <c r="J16" s="5" t="str">
        <f t="shared" si="7"/>
        <v>0</v>
      </c>
      <c r="K16" s="5" t="str">
        <f t="shared" si="8"/>
        <v>0</v>
      </c>
      <c r="L16" s="5" t="str">
        <f t="shared" si="9"/>
        <v>0</v>
      </c>
      <c r="M16" s="5" t="str">
        <f t="shared" si="10"/>
        <v>0</v>
      </c>
      <c r="N16" s="5" t="str">
        <f t="shared" si="11"/>
        <v>0</v>
      </c>
      <c r="O16" s="5">
        <v>15</v>
      </c>
      <c r="P16" s="5" t="str">
        <f>G23</f>
        <v>0</v>
      </c>
      <c r="Q16" s="5" t="str">
        <f>H23</f>
        <v>0</v>
      </c>
      <c r="R16" s="5" t="str">
        <f t="shared" ref="R16:W16" si="24">I23</f>
        <v>1</v>
      </c>
      <c r="S16" s="5" t="str">
        <f t="shared" si="24"/>
        <v>1</v>
      </c>
      <c r="T16" s="5" t="str">
        <f t="shared" si="24"/>
        <v>1</v>
      </c>
      <c r="U16" s="5" t="str">
        <f t="shared" si="24"/>
        <v>0</v>
      </c>
      <c r="V16" s="5" t="str">
        <f t="shared" si="24"/>
        <v>0</v>
      </c>
      <c r="W16" s="5" t="str">
        <f t="shared" si="24"/>
        <v>0</v>
      </c>
      <c r="X16" s="5" t="str">
        <f>G24</f>
        <v>0</v>
      </c>
      <c r="Y16" s="5" t="str">
        <f>H24</f>
        <v>0</v>
      </c>
      <c r="Z16" s="5" t="str">
        <f t="shared" ref="Z16:AE16" si="25">I24</f>
        <v>0</v>
      </c>
      <c r="AA16" s="5" t="str">
        <f t="shared" si="25"/>
        <v>0</v>
      </c>
      <c r="AB16" s="5" t="str">
        <f t="shared" si="25"/>
        <v>0</v>
      </c>
      <c r="AC16" s="5" t="str">
        <f t="shared" si="25"/>
        <v>0</v>
      </c>
      <c r="AD16" s="5" t="str">
        <f t="shared" si="25"/>
        <v>0</v>
      </c>
      <c r="AE16" s="5" t="str">
        <f t="shared" si="25"/>
        <v>0</v>
      </c>
      <c r="AF16" s="5">
        <v>16</v>
      </c>
    </row>
    <row r="17" spans="3:32">
      <c r="C17">
        <v>9</v>
      </c>
      <c r="D17" t="s">
        <v>80</v>
      </c>
      <c r="E17" t="str">
        <f t="shared" si="2"/>
        <v>fe</v>
      </c>
      <c r="F17" s="5" t="str">
        <f t="shared" si="3"/>
        <v>11111110</v>
      </c>
      <c r="G17" s="5" t="str">
        <f t="shared" si="4"/>
        <v>1</v>
      </c>
      <c r="H17" s="5" t="str">
        <f t="shared" si="5"/>
        <v>1</v>
      </c>
      <c r="I17" s="5" t="str">
        <f t="shared" si="6"/>
        <v>1</v>
      </c>
      <c r="J17" s="5" t="str">
        <f t="shared" si="7"/>
        <v>1</v>
      </c>
      <c r="K17" s="5" t="str">
        <f t="shared" si="8"/>
        <v>1</v>
      </c>
      <c r="L17" s="5" t="str">
        <f t="shared" si="9"/>
        <v>1</v>
      </c>
      <c r="M17" s="5" t="str">
        <f t="shared" si="10"/>
        <v>1</v>
      </c>
      <c r="N17" s="5" t="str">
        <f t="shared" si="11"/>
        <v>0</v>
      </c>
      <c r="O17" s="5">
        <v>17</v>
      </c>
      <c r="P17" s="5" t="str">
        <f>G25</f>
        <v>0</v>
      </c>
      <c r="Q17" s="5" t="str">
        <f>H25</f>
        <v>0</v>
      </c>
      <c r="R17" s="5" t="str">
        <f t="shared" ref="R17:W17" si="26">I25</f>
        <v>1</v>
      </c>
      <c r="S17" s="5" t="str">
        <f t="shared" si="26"/>
        <v>1</v>
      </c>
      <c r="T17" s="5" t="str">
        <f t="shared" si="26"/>
        <v>1</v>
      </c>
      <c r="U17" s="5" t="str">
        <f t="shared" si="26"/>
        <v>0</v>
      </c>
      <c r="V17" s="5" t="str">
        <f t="shared" si="26"/>
        <v>0</v>
      </c>
      <c r="W17" s="5" t="str">
        <f t="shared" si="26"/>
        <v>0</v>
      </c>
      <c r="X17" s="5" t="str">
        <f>G26</f>
        <v>0</v>
      </c>
      <c r="Y17" s="5" t="str">
        <f>H26</f>
        <v>0</v>
      </c>
      <c r="Z17" s="5" t="str">
        <f t="shared" ref="Z17:AE17" si="27">I26</f>
        <v>0</v>
      </c>
      <c r="AA17" s="5" t="str">
        <f t="shared" si="27"/>
        <v>0</v>
      </c>
      <c r="AB17" s="5" t="str">
        <f t="shared" si="27"/>
        <v>0</v>
      </c>
      <c r="AC17" s="5" t="str">
        <f t="shared" si="27"/>
        <v>0</v>
      </c>
      <c r="AD17" s="5" t="str">
        <f t="shared" si="27"/>
        <v>0</v>
      </c>
      <c r="AE17" s="5" t="str">
        <f t="shared" si="27"/>
        <v>0</v>
      </c>
      <c r="AF17" s="5">
        <v>18</v>
      </c>
    </row>
    <row r="18" spans="3:32">
      <c r="C18">
        <v>10</v>
      </c>
      <c r="D18" t="s">
        <v>77</v>
      </c>
      <c r="E18" t="str">
        <f t="shared" si="2"/>
        <v>00</v>
      </c>
      <c r="F18" s="5" t="str">
        <f t="shared" si="3"/>
        <v>00000000</v>
      </c>
      <c r="G18" s="5" t="str">
        <f t="shared" si="4"/>
        <v>0</v>
      </c>
      <c r="H18" s="5" t="str">
        <f t="shared" si="5"/>
        <v>0</v>
      </c>
      <c r="I18" s="5" t="str">
        <f t="shared" si="6"/>
        <v>0</v>
      </c>
      <c r="J18" s="5" t="str">
        <f t="shared" si="7"/>
        <v>0</v>
      </c>
      <c r="K18" s="5" t="str">
        <f t="shared" si="8"/>
        <v>0</v>
      </c>
      <c r="L18" s="5" t="str">
        <f t="shared" si="9"/>
        <v>0</v>
      </c>
      <c r="M18" s="5" t="str">
        <f t="shared" si="10"/>
        <v>0</v>
      </c>
      <c r="N18" s="5" t="str">
        <f t="shared" si="11"/>
        <v>0</v>
      </c>
      <c r="O18" s="5">
        <v>19</v>
      </c>
      <c r="P18" s="5" t="str">
        <f>G27</f>
        <v>0</v>
      </c>
      <c r="Q18" s="5" t="str">
        <f>H27</f>
        <v>0</v>
      </c>
      <c r="R18" s="5" t="str">
        <f t="shared" ref="R18:W18" si="28">I27</f>
        <v>1</v>
      </c>
      <c r="S18" s="5" t="str">
        <f t="shared" si="28"/>
        <v>1</v>
      </c>
      <c r="T18" s="5" t="str">
        <f t="shared" si="28"/>
        <v>1</v>
      </c>
      <c r="U18" s="5" t="str">
        <f t="shared" si="28"/>
        <v>0</v>
      </c>
      <c r="V18" s="5" t="str">
        <f t="shared" si="28"/>
        <v>0</v>
      </c>
      <c r="W18" s="5" t="str">
        <f t="shared" si="28"/>
        <v>0</v>
      </c>
      <c r="X18" s="5" t="str">
        <f>G28</f>
        <v>0</v>
      </c>
      <c r="Y18" s="5" t="str">
        <f>H28</f>
        <v>0</v>
      </c>
      <c r="Z18" s="5" t="str">
        <f t="shared" ref="Z18:AE18" si="29">I28</f>
        <v>0</v>
      </c>
      <c r="AA18" s="5" t="str">
        <f t="shared" si="29"/>
        <v>0</v>
      </c>
      <c r="AB18" s="5" t="str">
        <f t="shared" si="29"/>
        <v>0</v>
      </c>
      <c r="AC18" s="5" t="str">
        <f t="shared" si="29"/>
        <v>0</v>
      </c>
      <c r="AD18" s="5" t="str">
        <f t="shared" si="29"/>
        <v>0</v>
      </c>
      <c r="AE18" s="5" t="str">
        <f t="shared" si="29"/>
        <v>0</v>
      </c>
      <c r="AF18" s="5">
        <v>20</v>
      </c>
    </row>
    <row r="19" spans="3:32">
      <c r="C19">
        <v>11</v>
      </c>
      <c r="D19" t="s">
        <v>80</v>
      </c>
      <c r="E19" t="str">
        <f t="shared" si="2"/>
        <v>fe</v>
      </c>
      <c r="F19" s="5" t="str">
        <f t="shared" si="3"/>
        <v>11111110</v>
      </c>
      <c r="G19" s="5" t="str">
        <f t="shared" si="4"/>
        <v>1</v>
      </c>
      <c r="H19" s="5" t="str">
        <f t="shared" si="5"/>
        <v>1</v>
      </c>
      <c r="I19" s="5" t="str">
        <f t="shared" si="6"/>
        <v>1</v>
      </c>
      <c r="J19" s="5" t="str">
        <f t="shared" si="7"/>
        <v>1</v>
      </c>
      <c r="K19" s="5" t="str">
        <f t="shared" si="8"/>
        <v>1</v>
      </c>
      <c r="L19" s="5" t="str">
        <f t="shared" si="9"/>
        <v>1</v>
      </c>
      <c r="M19" s="5" t="str">
        <f t="shared" si="10"/>
        <v>1</v>
      </c>
      <c r="N19" s="5" t="str">
        <f t="shared" si="11"/>
        <v>0</v>
      </c>
      <c r="O19" s="5">
        <v>21</v>
      </c>
      <c r="P19" s="5" t="str">
        <f>G29</f>
        <v>0</v>
      </c>
      <c r="Q19" s="5" t="str">
        <f>H29</f>
        <v>0</v>
      </c>
      <c r="R19" s="5" t="str">
        <f t="shared" ref="R19:W19" si="30">I29</f>
        <v>1</v>
      </c>
      <c r="S19" s="5" t="str">
        <f t="shared" si="30"/>
        <v>1</v>
      </c>
      <c r="T19" s="5" t="str">
        <f t="shared" si="30"/>
        <v>1</v>
      </c>
      <c r="U19" s="5" t="str">
        <f t="shared" si="30"/>
        <v>0</v>
      </c>
      <c r="V19" s="5" t="str">
        <f t="shared" si="30"/>
        <v>0</v>
      </c>
      <c r="W19" s="5" t="str">
        <f t="shared" si="30"/>
        <v>0</v>
      </c>
      <c r="X19" s="5" t="str">
        <f>G30</f>
        <v>0</v>
      </c>
      <c r="Y19" s="5" t="str">
        <f>H30</f>
        <v>0</v>
      </c>
      <c r="Z19" s="5" t="str">
        <f t="shared" ref="Z19:AE19" si="31">I30</f>
        <v>0</v>
      </c>
      <c r="AA19" s="5" t="str">
        <f t="shared" si="31"/>
        <v>0</v>
      </c>
      <c r="AB19" s="5" t="str">
        <f t="shared" si="31"/>
        <v>0</v>
      </c>
      <c r="AC19" s="5" t="str">
        <f t="shared" si="31"/>
        <v>0</v>
      </c>
      <c r="AD19" s="5" t="str">
        <f t="shared" si="31"/>
        <v>0</v>
      </c>
      <c r="AE19" s="5" t="str">
        <f t="shared" si="31"/>
        <v>0</v>
      </c>
      <c r="AF19" s="5">
        <v>22</v>
      </c>
    </row>
    <row r="20" spans="3:32">
      <c r="C20">
        <v>12</v>
      </c>
      <c r="D20" t="s">
        <v>77</v>
      </c>
      <c r="E20" t="str">
        <f t="shared" si="2"/>
        <v>00</v>
      </c>
      <c r="F20" s="5" t="str">
        <f t="shared" si="3"/>
        <v>00000000</v>
      </c>
      <c r="G20" s="5" t="str">
        <f t="shared" si="4"/>
        <v>0</v>
      </c>
      <c r="H20" s="5" t="str">
        <f t="shared" si="5"/>
        <v>0</v>
      </c>
      <c r="I20" s="5" t="str">
        <f t="shared" si="6"/>
        <v>0</v>
      </c>
      <c r="J20" s="5" t="str">
        <f t="shared" si="7"/>
        <v>0</v>
      </c>
      <c r="K20" s="5" t="str">
        <f t="shared" si="8"/>
        <v>0</v>
      </c>
      <c r="L20" s="5" t="str">
        <f t="shared" si="9"/>
        <v>0</v>
      </c>
      <c r="M20" s="5" t="str">
        <f t="shared" si="10"/>
        <v>0</v>
      </c>
      <c r="N20" s="5" t="str">
        <f t="shared" si="11"/>
        <v>0</v>
      </c>
      <c r="O20" s="5">
        <v>23</v>
      </c>
      <c r="P20" s="5" t="str">
        <f>G31</f>
        <v>0</v>
      </c>
      <c r="Q20" s="5" t="str">
        <f>H31</f>
        <v>0</v>
      </c>
      <c r="R20" s="5" t="str">
        <f t="shared" ref="R20:W20" si="32">I31</f>
        <v>1</v>
      </c>
      <c r="S20" s="5" t="str">
        <f t="shared" si="32"/>
        <v>1</v>
      </c>
      <c r="T20" s="5" t="str">
        <f t="shared" si="32"/>
        <v>1</v>
      </c>
      <c r="U20" s="5" t="str">
        <f t="shared" si="32"/>
        <v>0</v>
      </c>
      <c r="V20" s="5" t="str">
        <f t="shared" si="32"/>
        <v>0</v>
      </c>
      <c r="W20" s="5" t="str">
        <f t="shared" si="32"/>
        <v>0</v>
      </c>
      <c r="X20" s="5" t="str">
        <f>G32</f>
        <v>0</v>
      </c>
      <c r="Y20" s="5" t="str">
        <f>H32</f>
        <v>0</v>
      </c>
      <c r="Z20" s="5" t="str">
        <f t="shared" ref="Z20:AE20" si="33">I32</f>
        <v>0</v>
      </c>
      <c r="AA20" s="5" t="str">
        <f t="shared" si="33"/>
        <v>0</v>
      </c>
      <c r="AB20" s="5" t="str">
        <f t="shared" si="33"/>
        <v>0</v>
      </c>
      <c r="AC20" s="5" t="str">
        <f t="shared" si="33"/>
        <v>0</v>
      </c>
      <c r="AD20" s="5" t="str">
        <f t="shared" si="33"/>
        <v>0</v>
      </c>
      <c r="AE20" s="5" t="str">
        <f t="shared" si="33"/>
        <v>0</v>
      </c>
      <c r="AF20" s="5">
        <v>24</v>
      </c>
    </row>
    <row r="21" spans="3:32">
      <c r="C21">
        <v>13</v>
      </c>
      <c r="D21" t="s">
        <v>79</v>
      </c>
      <c r="E21" t="str">
        <f t="shared" si="2"/>
        <v>38</v>
      </c>
      <c r="F21" s="5" t="str">
        <f t="shared" si="3"/>
        <v>00111000</v>
      </c>
      <c r="G21" s="5" t="str">
        <f t="shared" si="4"/>
        <v>0</v>
      </c>
      <c r="H21" s="5" t="str">
        <f t="shared" si="5"/>
        <v>0</v>
      </c>
      <c r="I21" s="5" t="str">
        <f t="shared" si="6"/>
        <v>1</v>
      </c>
      <c r="J21" s="5" t="str">
        <f t="shared" si="7"/>
        <v>1</v>
      </c>
      <c r="K21" s="5" t="str">
        <f t="shared" si="8"/>
        <v>1</v>
      </c>
      <c r="L21" s="5" t="str">
        <f t="shared" si="9"/>
        <v>0</v>
      </c>
      <c r="M21" s="5" t="str">
        <f t="shared" si="10"/>
        <v>0</v>
      </c>
      <c r="N21" s="5" t="str">
        <f t="shared" si="11"/>
        <v>0</v>
      </c>
      <c r="O21" s="5">
        <v>25</v>
      </c>
      <c r="P21" s="5" t="str">
        <f>G33</f>
        <v>0</v>
      </c>
      <c r="Q21" s="5" t="str">
        <f>H33</f>
        <v>0</v>
      </c>
      <c r="R21" s="5" t="str">
        <f t="shared" ref="R21:W21" si="34">I33</f>
        <v>1</v>
      </c>
      <c r="S21" s="5" t="str">
        <f t="shared" si="34"/>
        <v>1</v>
      </c>
      <c r="T21" s="5" t="str">
        <f t="shared" si="34"/>
        <v>1</v>
      </c>
      <c r="U21" s="5" t="str">
        <f t="shared" si="34"/>
        <v>0</v>
      </c>
      <c r="V21" s="5" t="str">
        <f t="shared" si="34"/>
        <v>0</v>
      </c>
      <c r="W21" s="5" t="str">
        <f t="shared" si="34"/>
        <v>0</v>
      </c>
      <c r="X21" s="5" t="str">
        <f>G34</f>
        <v>0</v>
      </c>
      <c r="Y21" s="5" t="str">
        <f>H34</f>
        <v>0</v>
      </c>
      <c r="Z21" s="5" t="str">
        <f t="shared" ref="Z21:AE21" si="35">I34</f>
        <v>0</v>
      </c>
      <c r="AA21" s="5" t="str">
        <f t="shared" si="35"/>
        <v>0</v>
      </c>
      <c r="AB21" s="5" t="str">
        <f t="shared" si="35"/>
        <v>0</v>
      </c>
      <c r="AC21" s="5" t="str">
        <f t="shared" si="35"/>
        <v>0</v>
      </c>
      <c r="AD21" s="5" t="str">
        <f t="shared" si="35"/>
        <v>0</v>
      </c>
      <c r="AE21" s="5" t="str">
        <f t="shared" si="35"/>
        <v>0</v>
      </c>
      <c r="AF21" s="5">
        <v>26</v>
      </c>
    </row>
    <row r="22" spans="3:32">
      <c r="C22">
        <v>14</v>
      </c>
      <c r="D22" t="s">
        <v>77</v>
      </c>
      <c r="E22" t="str">
        <f t="shared" si="2"/>
        <v>00</v>
      </c>
      <c r="F22" s="5" t="str">
        <f t="shared" si="3"/>
        <v>00000000</v>
      </c>
      <c r="G22" s="5" t="str">
        <f t="shared" si="4"/>
        <v>0</v>
      </c>
      <c r="H22" s="5" t="str">
        <f t="shared" si="5"/>
        <v>0</v>
      </c>
      <c r="I22" s="5" t="str">
        <f t="shared" si="6"/>
        <v>0</v>
      </c>
      <c r="J22" s="5" t="str">
        <f t="shared" si="7"/>
        <v>0</v>
      </c>
      <c r="K22" s="5" t="str">
        <f t="shared" si="8"/>
        <v>0</v>
      </c>
      <c r="L22" s="5" t="str">
        <f t="shared" si="9"/>
        <v>0</v>
      </c>
      <c r="M22" s="5" t="str">
        <f t="shared" si="10"/>
        <v>0</v>
      </c>
      <c r="N22" s="5" t="str">
        <f t="shared" si="11"/>
        <v>0</v>
      </c>
      <c r="O22" s="5">
        <v>27</v>
      </c>
      <c r="P22" s="5" t="str">
        <f>G35</f>
        <v>0</v>
      </c>
      <c r="Q22" s="5" t="str">
        <f>H35</f>
        <v>0</v>
      </c>
      <c r="R22" s="5" t="str">
        <f t="shared" ref="R22:W22" si="36">I35</f>
        <v>1</v>
      </c>
      <c r="S22" s="5" t="str">
        <f t="shared" si="36"/>
        <v>1</v>
      </c>
      <c r="T22" s="5" t="str">
        <f t="shared" si="36"/>
        <v>1</v>
      </c>
      <c r="U22" s="5" t="str">
        <f t="shared" si="36"/>
        <v>0</v>
      </c>
      <c r="V22" s="5" t="str">
        <f t="shared" si="36"/>
        <v>0</v>
      </c>
      <c r="W22" s="5" t="str">
        <f t="shared" si="36"/>
        <v>0</v>
      </c>
      <c r="X22" s="5" t="str">
        <f>G36</f>
        <v>0</v>
      </c>
      <c r="Y22" s="5" t="str">
        <f>H36</f>
        <v>0</v>
      </c>
      <c r="Z22" s="5" t="str">
        <f t="shared" ref="Z22:AE22" si="37">I36</f>
        <v>0</v>
      </c>
      <c r="AA22" s="5" t="str">
        <f t="shared" si="37"/>
        <v>0</v>
      </c>
      <c r="AB22" s="5" t="str">
        <f t="shared" si="37"/>
        <v>0</v>
      </c>
      <c r="AC22" s="5" t="str">
        <f t="shared" si="37"/>
        <v>0</v>
      </c>
      <c r="AD22" s="5" t="str">
        <f t="shared" si="37"/>
        <v>0</v>
      </c>
      <c r="AE22" s="5" t="str">
        <f t="shared" si="37"/>
        <v>0</v>
      </c>
      <c r="AF22" s="5">
        <v>28</v>
      </c>
    </row>
    <row r="23" spans="3:32">
      <c r="C23">
        <v>15</v>
      </c>
      <c r="D23" t="s">
        <v>79</v>
      </c>
      <c r="E23" t="str">
        <f t="shared" si="2"/>
        <v>38</v>
      </c>
      <c r="F23" s="5" t="str">
        <f t="shared" si="3"/>
        <v>00111000</v>
      </c>
      <c r="G23" s="5" t="str">
        <f t="shared" si="4"/>
        <v>0</v>
      </c>
      <c r="H23" s="5" t="str">
        <f t="shared" si="5"/>
        <v>0</v>
      </c>
      <c r="I23" s="5" t="str">
        <f t="shared" si="6"/>
        <v>1</v>
      </c>
      <c r="J23" s="5" t="str">
        <f t="shared" si="7"/>
        <v>1</v>
      </c>
      <c r="K23" s="5" t="str">
        <f t="shared" si="8"/>
        <v>1</v>
      </c>
      <c r="L23" s="5" t="str">
        <f t="shared" si="9"/>
        <v>0</v>
      </c>
      <c r="M23" s="5" t="str">
        <f t="shared" si="10"/>
        <v>0</v>
      </c>
      <c r="N23" s="5" t="str">
        <f t="shared" si="11"/>
        <v>0</v>
      </c>
      <c r="O23" s="5">
        <v>29</v>
      </c>
      <c r="P23" s="5" t="str">
        <f>G37</f>
        <v>0</v>
      </c>
      <c r="Q23" s="5" t="str">
        <f>H37</f>
        <v>0</v>
      </c>
      <c r="R23" s="5" t="str">
        <f t="shared" ref="R23:W23" si="38">I37</f>
        <v>0</v>
      </c>
      <c r="S23" s="5" t="str">
        <f t="shared" si="38"/>
        <v>1</v>
      </c>
      <c r="T23" s="5" t="str">
        <f t="shared" si="38"/>
        <v>1</v>
      </c>
      <c r="U23" s="5" t="str">
        <f t="shared" si="38"/>
        <v>1</v>
      </c>
      <c r="V23" s="5" t="str">
        <f t="shared" si="38"/>
        <v>1</v>
      </c>
      <c r="W23" s="5" t="str">
        <f t="shared" si="38"/>
        <v>0</v>
      </c>
      <c r="X23" s="5" t="str">
        <f>G38</f>
        <v>0</v>
      </c>
      <c r="Y23" s="5" t="str">
        <f>H38</f>
        <v>0</v>
      </c>
      <c r="Z23" s="5" t="str">
        <f t="shared" ref="Z23:AE23" si="39">I38</f>
        <v>0</v>
      </c>
      <c r="AA23" s="5" t="str">
        <f t="shared" si="39"/>
        <v>0</v>
      </c>
      <c r="AB23" s="5" t="str">
        <f t="shared" si="39"/>
        <v>0</v>
      </c>
      <c r="AC23" s="5" t="str">
        <f t="shared" si="39"/>
        <v>0</v>
      </c>
      <c r="AD23" s="5" t="str">
        <f t="shared" si="39"/>
        <v>0</v>
      </c>
      <c r="AE23" s="5" t="str">
        <f t="shared" si="39"/>
        <v>0</v>
      </c>
      <c r="AF23" s="5">
        <v>30</v>
      </c>
    </row>
    <row r="24" spans="3:32">
      <c r="C24">
        <v>16</v>
      </c>
      <c r="D24" t="s">
        <v>77</v>
      </c>
      <c r="E24" t="str">
        <f t="shared" si="2"/>
        <v>00</v>
      </c>
      <c r="F24" s="5" t="str">
        <f t="shared" si="3"/>
        <v>00000000</v>
      </c>
      <c r="G24" s="5" t="str">
        <f t="shared" si="4"/>
        <v>0</v>
      </c>
      <c r="H24" s="5" t="str">
        <f t="shared" si="5"/>
        <v>0</v>
      </c>
      <c r="I24" s="5" t="str">
        <f t="shared" si="6"/>
        <v>0</v>
      </c>
      <c r="J24" s="5" t="str">
        <f t="shared" si="7"/>
        <v>0</v>
      </c>
      <c r="K24" s="5" t="str">
        <f t="shared" si="8"/>
        <v>0</v>
      </c>
      <c r="L24" s="5" t="str">
        <f t="shared" si="9"/>
        <v>0</v>
      </c>
      <c r="M24" s="5" t="str">
        <f t="shared" si="10"/>
        <v>0</v>
      </c>
      <c r="N24" s="5" t="str">
        <f t="shared" si="11"/>
        <v>0</v>
      </c>
      <c r="O24" s="5">
        <v>31</v>
      </c>
      <c r="P24" s="5" t="str">
        <f>G39</f>
        <v>0</v>
      </c>
      <c r="Q24" s="5" t="str">
        <f>H39</f>
        <v>0</v>
      </c>
      <c r="R24" s="5" t="str">
        <f t="shared" ref="R24:W24" si="40">I39</f>
        <v>0</v>
      </c>
      <c r="S24" s="5" t="str">
        <f t="shared" si="40"/>
        <v>0</v>
      </c>
      <c r="T24" s="5" t="str">
        <f t="shared" si="40"/>
        <v>1</v>
      </c>
      <c r="U24" s="5" t="str">
        <f t="shared" si="40"/>
        <v>1</v>
      </c>
      <c r="V24" s="5" t="str">
        <f t="shared" si="40"/>
        <v>1</v>
      </c>
      <c r="W24" s="5" t="str">
        <f t="shared" si="40"/>
        <v>0</v>
      </c>
      <c r="X24" s="5" t="str">
        <f>G40</f>
        <v>0</v>
      </c>
      <c r="Y24" s="5" t="str">
        <f>H40</f>
        <v>0</v>
      </c>
      <c r="Z24" s="5" t="str">
        <f t="shared" ref="Z24:AE24" si="41">I40</f>
        <v>0</v>
      </c>
      <c r="AA24" s="5" t="str">
        <f t="shared" si="41"/>
        <v>0</v>
      </c>
      <c r="AB24" s="5" t="str">
        <f t="shared" si="41"/>
        <v>0</v>
      </c>
      <c r="AC24" s="5" t="str">
        <f t="shared" si="41"/>
        <v>0</v>
      </c>
      <c r="AD24" s="5" t="str">
        <f t="shared" si="41"/>
        <v>0</v>
      </c>
      <c r="AE24" s="5" t="str">
        <f t="shared" si="41"/>
        <v>0</v>
      </c>
      <c r="AF24" s="5">
        <v>32</v>
      </c>
    </row>
    <row r="25" spans="3:32">
      <c r="C25">
        <v>17</v>
      </c>
      <c r="D25" t="s">
        <v>79</v>
      </c>
      <c r="E25" t="str">
        <f t="shared" si="2"/>
        <v>38</v>
      </c>
      <c r="F25" s="5" t="str">
        <f t="shared" si="3"/>
        <v>00111000</v>
      </c>
      <c r="G25" s="5" t="str">
        <f t="shared" si="4"/>
        <v>0</v>
      </c>
      <c r="H25" s="5" t="str">
        <f t="shared" si="5"/>
        <v>0</v>
      </c>
      <c r="I25" s="5" t="str">
        <f t="shared" si="6"/>
        <v>1</v>
      </c>
      <c r="J25" s="5" t="str">
        <f t="shared" si="7"/>
        <v>1</v>
      </c>
      <c r="K25" s="5" t="str">
        <f t="shared" si="8"/>
        <v>1</v>
      </c>
      <c r="L25" s="5" t="str">
        <f t="shared" si="9"/>
        <v>0</v>
      </c>
      <c r="M25" s="5" t="str">
        <f t="shared" si="10"/>
        <v>0</v>
      </c>
      <c r="N25" s="5" t="str">
        <f t="shared" si="11"/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</row>
    <row r="26" spans="3:32">
      <c r="C26">
        <v>18</v>
      </c>
      <c r="D26" t="s">
        <v>77</v>
      </c>
      <c r="E26" t="str">
        <f t="shared" si="2"/>
        <v>00</v>
      </c>
      <c r="F26" s="5" t="str">
        <f t="shared" si="3"/>
        <v>00000000</v>
      </c>
      <c r="G26" s="5" t="str">
        <f t="shared" si="4"/>
        <v>0</v>
      </c>
      <c r="H26" s="5" t="str">
        <f t="shared" si="5"/>
        <v>0</v>
      </c>
      <c r="I26" s="5" t="str">
        <f t="shared" si="6"/>
        <v>0</v>
      </c>
      <c r="J26" s="5" t="str">
        <f t="shared" si="7"/>
        <v>0</v>
      </c>
      <c r="K26" s="5" t="str">
        <f t="shared" si="8"/>
        <v>0</v>
      </c>
      <c r="L26" s="5" t="str">
        <f t="shared" si="9"/>
        <v>0</v>
      </c>
      <c r="M26" s="5" t="str">
        <f t="shared" si="10"/>
        <v>0</v>
      </c>
      <c r="N26" s="5" t="str">
        <f t="shared" si="11"/>
        <v>0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</row>
    <row r="27" spans="3:32">
      <c r="C27">
        <v>19</v>
      </c>
      <c r="D27" t="s">
        <v>79</v>
      </c>
      <c r="E27" t="str">
        <f t="shared" si="2"/>
        <v>38</v>
      </c>
      <c r="F27" s="5" t="str">
        <f t="shared" si="3"/>
        <v>00111000</v>
      </c>
      <c r="G27" s="5" t="str">
        <f t="shared" si="4"/>
        <v>0</v>
      </c>
      <c r="H27" s="5" t="str">
        <f t="shared" si="5"/>
        <v>0</v>
      </c>
      <c r="I27" s="5" t="str">
        <f t="shared" si="6"/>
        <v>1</v>
      </c>
      <c r="J27" s="5" t="str">
        <f t="shared" si="7"/>
        <v>1</v>
      </c>
      <c r="K27" s="5" t="str">
        <f t="shared" si="8"/>
        <v>1</v>
      </c>
      <c r="L27" s="5" t="str">
        <f t="shared" si="9"/>
        <v>0</v>
      </c>
      <c r="M27" s="5" t="str">
        <f t="shared" si="10"/>
        <v>0</v>
      </c>
      <c r="N27" s="5" t="str">
        <f t="shared" si="11"/>
        <v>0</v>
      </c>
    </row>
    <row r="28" spans="3:32">
      <c r="C28">
        <v>20</v>
      </c>
      <c r="D28" t="s">
        <v>77</v>
      </c>
      <c r="E28" t="str">
        <f t="shared" si="2"/>
        <v>00</v>
      </c>
      <c r="F28" s="5" t="str">
        <f t="shared" si="3"/>
        <v>00000000</v>
      </c>
      <c r="G28" s="5" t="str">
        <f t="shared" si="4"/>
        <v>0</v>
      </c>
      <c r="H28" s="5" t="str">
        <f t="shared" si="5"/>
        <v>0</v>
      </c>
      <c r="I28" s="5" t="str">
        <f t="shared" si="6"/>
        <v>0</v>
      </c>
      <c r="J28" s="5" t="str">
        <f t="shared" si="7"/>
        <v>0</v>
      </c>
      <c r="K28" s="5" t="str">
        <f t="shared" si="8"/>
        <v>0</v>
      </c>
      <c r="L28" s="5" t="str">
        <f t="shared" si="9"/>
        <v>0</v>
      </c>
      <c r="M28" s="5" t="str">
        <f t="shared" si="10"/>
        <v>0</v>
      </c>
      <c r="N28" s="5" t="str">
        <f t="shared" si="11"/>
        <v>0</v>
      </c>
    </row>
    <row r="29" spans="3:32">
      <c r="C29">
        <v>21</v>
      </c>
      <c r="D29" t="s">
        <v>79</v>
      </c>
      <c r="E29" t="str">
        <f t="shared" si="2"/>
        <v>38</v>
      </c>
      <c r="F29" s="5" t="str">
        <f t="shared" si="3"/>
        <v>00111000</v>
      </c>
      <c r="G29" s="5" t="str">
        <f t="shared" si="4"/>
        <v>0</v>
      </c>
      <c r="H29" s="5" t="str">
        <f t="shared" si="5"/>
        <v>0</v>
      </c>
      <c r="I29" s="5" t="str">
        <f t="shared" si="6"/>
        <v>1</v>
      </c>
      <c r="J29" s="5" t="str">
        <f t="shared" si="7"/>
        <v>1</v>
      </c>
      <c r="K29" s="5" t="str">
        <f t="shared" si="8"/>
        <v>1</v>
      </c>
      <c r="L29" s="5" t="str">
        <f t="shared" si="9"/>
        <v>0</v>
      </c>
      <c r="M29" s="5" t="str">
        <f t="shared" si="10"/>
        <v>0</v>
      </c>
      <c r="N29" s="5" t="str">
        <f t="shared" si="11"/>
        <v>0</v>
      </c>
    </row>
    <row r="30" spans="3:32">
      <c r="C30">
        <v>22</v>
      </c>
      <c r="D30" t="s">
        <v>77</v>
      </c>
      <c r="E30" t="str">
        <f t="shared" si="2"/>
        <v>00</v>
      </c>
      <c r="F30" s="5" t="str">
        <f t="shared" si="3"/>
        <v>00000000</v>
      </c>
      <c r="G30" s="5" t="str">
        <f t="shared" si="4"/>
        <v>0</v>
      </c>
      <c r="H30" s="5" t="str">
        <f t="shared" si="5"/>
        <v>0</v>
      </c>
      <c r="I30" s="5" t="str">
        <f t="shared" si="6"/>
        <v>0</v>
      </c>
      <c r="J30" s="5" t="str">
        <f t="shared" si="7"/>
        <v>0</v>
      </c>
      <c r="K30" s="5" t="str">
        <f t="shared" si="8"/>
        <v>0</v>
      </c>
      <c r="L30" s="5" t="str">
        <f t="shared" si="9"/>
        <v>0</v>
      </c>
      <c r="M30" s="5" t="str">
        <f t="shared" si="10"/>
        <v>0</v>
      </c>
      <c r="N30" s="5" t="str">
        <f t="shared" si="11"/>
        <v>0</v>
      </c>
    </row>
    <row r="31" spans="3:32">
      <c r="C31">
        <v>23</v>
      </c>
      <c r="D31" t="s">
        <v>79</v>
      </c>
      <c r="E31" t="str">
        <f t="shared" si="2"/>
        <v>38</v>
      </c>
      <c r="F31" s="5" t="str">
        <f t="shared" si="3"/>
        <v>00111000</v>
      </c>
      <c r="G31" s="5" t="str">
        <f t="shared" si="4"/>
        <v>0</v>
      </c>
      <c r="H31" s="5" t="str">
        <f t="shared" si="5"/>
        <v>0</v>
      </c>
      <c r="I31" s="5" t="str">
        <f t="shared" si="6"/>
        <v>1</v>
      </c>
      <c r="J31" s="5" t="str">
        <f t="shared" si="7"/>
        <v>1</v>
      </c>
      <c r="K31" s="5" t="str">
        <f t="shared" si="8"/>
        <v>1</v>
      </c>
      <c r="L31" s="5" t="str">
        <f t="shared" si="9"/>
        <v>0</v>
      </c>
      <c r="M31" s="5" t="str">
        <f t="shared" si="10"/>
        <v>0</v>
      </c>
      <c r="N31" s="5" t="str">
        <f t="shared" si="11"/>
        <v>0</v>
      </c>
    </row>
    <row r="32" spans="3:32">
      <c r="C32">
        <v>24</v>
      </c>
      <c r="D32" t="s">
        <v>77</v>
      </c>
      <c r="E32" t="str">
        <f t="shared" si="2"/>
        <v>00</v>
      </c>
      <c r="F32" s="5" t="str">
        <f t="shared" si="3"/>
        <v>00000000</v>
      </c>
      <c r="G32" s="5" t="str">
        <f t="shared" si="4"/>
        <v>0</v>
      </c>
      <c r="H32" s="5" t="str">
        <f t="shared" si="5"/>
        <v>0</v>
      </c>
      <c r="I32" s="5" t="str">
        <f t="shared" si="6"/>
        <v>0</v>
      </c>
      <c r="J32" s="5" t="str">
        <f t="shared" si="7"/>
        <v>0</v>
      </c>
      <c r="K32" s="5" t="str">
        <f t="shared" si="8"/>
        <v>0</v>
      </c>
      <c r="L32" s="5" t="str">
        <f t="shared" si="9"/>
        <v>0</v>
      </c>
      <c r="M32" s="5" t="str">
        <f t="shared" si="10"/>
        <v>0</v>
      </c>
      <c r="N32" s="5" t="str">
        <f t="shared" si="11"/>
        <v>0</v>
      </c>
    </row>
    <row r="33" spans="3:14">
      <c r="C33">
        <v>25</v>
      </c>
      <c r="D33" t="s">
        <v>79</v>
      </c>
      <c r="E33" t="str">
        <f t="shared" si="2"/>
        <v>38</v>
      </c>
      <c r="F33" s="5" t="str">
        <f t="shared" si="3"/>
        <v>00111000</v>
      </c>
      <c r="G33" s="5" t="str">
        <f t="shared" si="4"/>
        <v>0</v>
      </c>
      <c r="H33" s="5" t="str">
        <f t="shared" si="5"/>
        <v>0</v>
      </c>
      <c r="I33" s="5" t="str">
        <f t="shared" si="6"/>
        <v>1</v>
      </c>
      <c r="J33" s="5" t="str">
        <f t="shared" si="7"/>
        <v>1</v>
      </c>
      <c r="K33" s="5" t="str">
        <f t="shared" si="8"/>
        <v>1</v>
      </c>
      <c r="L33" s="5" t="str">
        <f t="shared" si="9"/>
        <v>0</v>
      </c>
      <c r="M33" s="5" t="str">
        <f t="shared" si="10"/>
        <v>0</v>
      </c>
      <c r="N33" s="5" t="str">
        <f t="shared" si="11"/>
        <v>0</v>
      </c>
    </row>
    <row r="34" spans="3:14">
      <c r="C34">
        <v>26</v>
      </c>
      <c r="D34" t="s">
        <v>77</v>
      </c>
      <c r="E34" t="str">
        <f t="shared" si="2"/>
        <v>00</v>
      </c>
      <c r="F34" s="5" t="str">
        <f t="shared" si="3"/>
        <v>00000000</v>
      </c>
      <c r="G34" s="5" t="str">
        <f t="shared" si="4"/>
        <v>0</v>
      </c>
      <c r="H34" s="5" t="str">
        <f t="shared" si="5"/>
        <v>0</v>
      </c>
      <c r="I34" s="5" t="str">
        <f t="shared" si="6"/>
        <v>0</v>
      </c>
      <c r="J34" s="5" t="str">
        <f t="shared" si="7"/>
        <v>0</v>
      </c>
      <c r="K34" s="5" t="str">
        <f t="shared" si="8"/>
        <v>0</v>
      </c>
      <c r="L34" s="5" t="str">
        <f t="shared" si="9"/>
        <v>0</v>
      </c>
      <c r="M34" s="5" t="str">
        <f t="shared" si="10"/>
        <v>0</v>
      </c>
      <c r="N34" s="5" t="str">
        <f t="shared" si="11"/>
        <v>0</v>
      </c>
    </row>
    <row r="35" spans="3:14">
      <c r="C35">
        <v>27</v>
      </c>
      <c r="D35" t="s">
        <v>79</v>
      </c>
      <c r="E35" t="str">
        <f t="shared" si="2"/>
        <v>38</v>
      </c>
      <c r="F35" s="5" t="str">
        <f t="shared" si="3"/>
        <v>00111000</v>
      </c>
      <c r="G35" s="5" t="str">
        <f t="shared" si="4"/>
        <v>0</v>
      </c>
      <c r="H35" s="5" t="str">
        <f t="shared" si="5"/>
        <v>0</v>
      </c>
      <c r="I35" s="5" t="str">
        <f t="shared" si="6"/>
        <v>1</v>
      </c>
      <c r="J35" s="5" t="str">
        <f t="shared" si="7"/>
        <v>1</v>
      </c>
      <c r="K35" s="5" t="str">
        <f t="shared" si="8"/>
        <v>1</v>
      </c>
      <c r="L35" s="5" t="str">
        <f t="shared" si="9"/>
        <v>0</v>
      </c>
      <c r="M35" s="5" t="str">
        <f t="shared" si="10"/>
        <v>0</v>
      </c>
      <c r="N35" s="5" t="str">
        <f t="shared" si="11"/>
        <v>0</v>
      </c>
    </row>
    <row r="36" spans="3:14">
      <c r="C36">
        <v>28</v>
      </c>
      <c r="D36" t="s">
        <v>77</v>
      </c>
      <c r="E36" t="str">
        <f t="shared" si="2"/>
        <v>00</v>
      </c>
      <c r="F36" s="5" t="str">
        <f t="shared" si="3"/>
        <v>00000000</v>
      </c>
      <c r="G36" s="5" t="str">
        <f t="shared" si="4"/>
        <v>0</v>
      </c>
      <c r="H36" s="5" t="str">
        <f t="shared" si="5"/>
        <v>0</v>
      </c>
      <c r="I36" s="5" t="str">
        <f t="shared" si="6"/>
        <v>0</v>
      </c>
      <c r="J36" s="5" t="str">
        <f t="shared" si="7"/>
        <v>0</v>
      </c>
      <c r="K36" s="5" t="str">
        <f t="shared" si="8"/>
        <v>0</v>
      </c>
      <c r="L36" s="5" t="str">
        <f t="shared" si="9"/>
        <v>0</v>
      </c>
      <c r="M36" s="5" t="str">
        <f t="shared" si="10"/>
        <v>0</v>
      </c>
      <c r="N36" s="5" t="str">
        <f t="shared" si="11"/>
        <v>0</v>
      </c>
    </row>
    <row r="37" spans="3:14">
      <c r="C37">
        <v>29</v>
      </c>
      <c r="D37" t="s">
        <v>81</v>
      </c>
      <c r="E37" t="str">
        <f t="shared" si="2"/>
        <v>1e</v>
      </c>
      <c r="F37" s="5" t="str">
        <f t="shared" si="3"/>
        <v>00011110</v>
      </c>
      <c r="G37" s="5" t="str">
        <f t="shared" si="4"/>
        <v>0</v>
      </c>
      <c r="H37" s="5" t="str">
        <f t="shared" si="5"/>
        <v>0</v>
      </c>
      <c r="I37" s="5" t="str">
        <f t="shared" si="6"/>
        <v>0</v>
      </c>
      <c r="J37" s="5" t="str">
        <f t="shared" si="7"/>
        <v>1</v>
      </c>
      <c r="K37" s="5" t="str">
        <f t="shared" si="8"/>
        <v>1</v>
      </c>
      <c r="L37" s="5" t="str">
        <f t="shared" si="9"/>
        <v>1</v>
      </c>
      <c r="M37" s="5" t="str">
        <f t="shared" si="10"/>
        <v>1</v>
      </c>
      <c r="N37" s="5" t="str">
        <f t="shared" si="11"/>
        <v>0</v>
      </c>
    </row>
    <row r="38" spans="3:14">
      <c r="C38">
        <v>30</v>
      </c>
      <c r="D38" t="s">
        <v>77</v>
      </c>
      <c r="E38" t="str">
        <f t="shared" si="2"/>
        <v>00</v>
      </c>
      <c r="F38" s="5" t="str">
        <f t="shared" si="3"/>
        <v>00000000</v>
      </c>
      <c r="G38" s="5" t="str">
        <f t="shared" si="4"/>
        <v>0</v>
      </c>
      <c r="H38" s="5" t="str">
        <f t="shared" si="5"/>
        <v>0</v>
      </c>
      <c r="I38" s="5" t="str">
        <f t="shared" si="6"/>
        <v>0</v>
      </c>
      <c r="J38" s="5" t="str">
        <f t="shared" si="7"/>
        <v>0</v>
      </c>
      <c r="K38" s="5" t="str">
        <f t="shared" si="8"/>
        <v>0</v>
      </c>
      <c r="L38" s="5" t="str">
        <f t="shared" si="9"/>
        <v>0</v>
      </c>
      <c r="M38" s="5" t="str">
        <f t="shared" si="10"/>
        <v>0</v>
      </c>
      <c r="N38" s="5" t="str">
        <f t="shared" si="11"/>
        <v>0</v>
      </c>
    </row>
    <row r="39" spans="3:14">
      <c r="C39">
        <v>31</v>
      </c>
      <c r="D39" t="s">
        <v>82</v>
      </c>
      <c r="E39" t="str">
        <f t="shared" si="2"/>
        <v>0e</v>
      </c>
      <c r="F39" s="5" t="str">
        <f t="shared" si="3"/>
        <v>00001110</v>
      </c>
      <c r="G39" s="5" t="str">
        <f t="shared" si="4"/>
        <v>0</v>
      </c>
      <c r="H39" s="5" t="str">
        <f t="shared" si="5"/>
        <v>0</v>
      </c>
      <c r="I39" s="5" t="str">
        <f t="shared" si="6"/>
        <v>0</v>
      </c>
      <c r="J39" s="5" t="str">
        <f t="shared" si="7"/>
        <v>0</v>
      </c>
      <c r="K39" s="5" t="str">
        <f t="shared" si="8"/>
        <v>1</v>
      </c>
      <c r="L39" s="5" t="str">
        <f t="shared" si="9"/>
        <v>1</v>
      </c>
      <c r="M39" s="5" t="str">
        <f t="shared" si="10"/>
        <v>1</v>
      </c>
      <c r="N39" s="5" t="str">
        <f t="shared" si="11"/>
        <v>0</v>
      </c>
    </row>
    <row r="40" spans="3:14">
      <c r="C40">
        <v>32</v>
      </c>
      <c r="D40" t="s">
        <v>77</v>
      </c>
      <c r="E40" t="str">
        <f t="shared" si="2"/>
        <v>00</v>
      </c>
      <c r="F40" s="5" t="str">
        <f t="shared" si="3"/>
        <v>00000000</v>
      </c>
      <c r="G40" s="5" t="str">
        <f t="shared" si="4"/>
        <v>0</v>
      </c>
      <c r="H40" s="5" t="str">
        <f t="shared" si="5"/>
        <v>0</v>
      </c>
      <c r="I40" s="5" t="str">
        <f t="shared" si="6"/>
        <v>0</v>
      </c>
      <c r="J40" s="5" t="str">
        <f t="shared" si="7"/>
        <v>0</v>
      </c>
      <c r="K40" s="5" t="str">
        <f t="shared" si="8"/>
        <v>0</v>
      </c>
      <c r="L40" s="5" t="str">
        <f t="shared" si="9"/>
        <v>0</v>
      </c>
      <c r="M40" s="5" t="str">
        <f t="shared" si="10"/>
        <v>0</v>
      </c>
      <c r="N40" s="5" t="str">
        <f t="shared" si="11"/>
        <v>0</v>
      </c>
    </row>
    <row r="41" spans="3:14">
      <c r="F41" s="5"/>
      <c r="G41" s="5"/>
      <c r="H41" s="5"/>
      <c r="I41" s="5"/>
      <c r="J41" s="5"/>
      <c r="K41" s="5"/>
      <c r="L41" s="5"/>
      <c r="M41" s="5"/>
      <c r="N41" s="5"/>
    </row>
    <row r="42" spans="3:14">
      <c r="F42" s="5"/>
      <c r="G42" s="5"/>
      <c r="H42" s="5"/>
      <c r="I42" s="5"/>
      <c r="J42" s="5"/>
      <c r="K42" s="5"/>
      <c r="L42" s="5"/>
      <c r="M42" s="5"/>
      <c r="N42" s="5"/>
    </row>
  </sheetData>
  <conditionalFormatting sqref="P9:AE24">
    <cfRule type="colorScale" priority="1">
      <colorScale>
        <cfvo type="num" val="0"/>
        <cfvo type="num" val="1"/>
        <color theme="0" tint="-0.34998626667073579"/>
        <color rgb="FFFF0000"/>
      </colorScale>
    </cfRule>
  </conditionalFormatting>
  <pageMargins left="0.7" right="0.7" top="0.75" bottom="0.75" header="0.3" footer="0.3"/>
  <pageSetup paperSize="9" scale="31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6" sqref="C6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3:DC29"/>
  <sheetViews>
    <sheetView workbookViewId="0">
      <selection activeCell="O3" sqref="O3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7" max="27" width="12.140625" customWidth="1"/>
    <col min="28" max="28" width="6.7109375" hidden="1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hidden="1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4" max="54" width="0" hidden="1" customWidth="1"/>
    <col min="55" max="55" width="6.7109375" hidden="1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hidden="1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  <col min="81" max="81" width="0" hidden="1" customWidth="1"/>
    <col min="82" max="82" width="7.42578125" hidden="1" customWidth="1"/>
    <col min="83" max="84" width="0" hidden="1" customWidth="1"/>
    <col min="85" max="85" width="5.140625" hidden="1" customWidth="1"/>
    <col min="86" max="86" width="0" hidden="1" customWidth="1"/>
    <col min="87" max="87" width="5.85546875" hidden="1" customWidth="1"/>
    <col min="88" max="90" width="0" hidden="1" customWidth="1"/>
    <col min="91" max="91" width="21.42578125" hidden="1" customWidth="1"/>
    <col min="92" max="107" width="3" customWidth="1"/>
  </cols>
  <sheetData>
    <row r="3" spans="1:107">
      <c r="CE3" s="1" t="str">
        <f>AA25</f>
        <v xml:space="preserve">  0x0c, 0x3f, 0xc0, 0x7f, 0xe0, 0xf0, 0xf0, 0xe0, 0x70, 0xe0, 0x70, 0x00, 0xf0, 0x01, 0xe0, 0x03, 0xc0, 0x07, 0x80, 0x0f, 0x00, 0x1e, 0x00, 0x3c, 0x00, 0x78, 0x00, 0xf0, 0x70, 0xff, 0xf0, 0xff, 0xf0,   // char 50: 2</v>
      </c>
    </row>
    <row r="4" spans="1:107">
      <c r="A4" s="3" t="s">
        <v>67</v>
      </c>
      <c r="Z4" t="s">
        <v>5</v>
      </c>
      <c r="AB4" s="7"/>
      <c r="BC4" s="7"/>
      <c r="CD4" s="5"/>
      <c r="CE4" s="5"/>
      <c r="CF4" s="5"/>
      <c r="CG4" s="5"/>
    </row>
    <row r="5" spans="1:107">
      <c r="A5" s="3" t="s">
        <v>67</v>
      </c>
      <c r="B5" t="str">
        <f>Z5&amp;Y5&amp;BIN2HEX(D5,2)&amp;X5</f>
        <v xml:space="preserve"> 0xC0,</v>
      </c>
      <c r="C5" t="str">
        <f>Z5&amp;BIN2DEC(D5)&amp;X5</f>
        <v>192,</v>
      </c>
      <c r="D5" t="str">
        <f>E5&amp;F5&amp;G5&amp;H5&amp;I5&amp;J5&amp;K5&amp;L5</f>
        <v>11000000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7"/>
      <c r="AI5">
        <v>1</v>
      </c>
      <c r="AJ5">
        <v>0</v>
      </c>
      <c r="BC5" s="7"/>
      <c r="CD5" s="5">
        <v>11</v>
      </c>
      <c r="CE5" s="5" t="str">
        <f>MID(CI5,CD5,2)</f>
        <v>3f</v>
      </c>
      <c r="CF5" s="5" t="str">
        <f>MID(CI5,CG5,2)</f>
        <v>c0</v>
      </c>
      <c r="CG5" s="5">
        <v>17</v>
      </c>
      <c r="CI5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5" t="s">
        <v>85</v>
      </c>
      <c r="CK5" t="str">
        <f>HEX2BIN(CE5,8)</f>
        <v>00111111</v>
      </c>
      <c r="CL5" t="str">
        <f>HEX2BIN(CF5,8)</f>
        <v>11000000</v>
      </c>
      <c r="CM5" t="str">
        <f>CK5&amp;CL5</f>
        <v>0011111111000000</v>
      </c>
      <c r="CN5" t="str">
        <f>MID(CM5,1,1)</f>
        <v>0</v>
      </c>
      <c r="CO5" t="str">
        <f>MID(CM5,2,1)</f>
        <v>0</v>
      </c>
      <c r="CP5" t="str">
        <f>MID(CM5,3,1)</f>
        <v>1</v>
      </c>
      <c r="CQ5" t="str">
        <f>MID(CM5,4,1)</f>
        <v>1</v>
      </c>
      <c r="CR5" t="str">
        <f>MID(CM5,5,1)</f>
        <v>1</v>
      </c>
      <c r="CS5" t="str">
        <f>MID(CM5,6,1)</f>
        <v>1</v>
      </c>
      <c r="CT5" t="str">
        <f>MID(CM5,7,1)</f>
        <v>1</v>
      </c>
      <c r="CU5" t="str">
        <f>MID(CM5,8,1)</f>
        <v>1</v>
      </c>
      <c r="CV5" t="str">
        <f>MID(CM5,9,1)</f>
        <v>1</v>
      </c>
      <c r="CW5" t="str">
        <f>MID(CM5,10,1)</f>
        <v>1</v>
      </c>
      <c r="CX5" t="str">
        <f>MID(CM5,11,1)</f>
        <v>0</v>
      </c>
      <c r="CY5" t="str">
        <f>MID(CM5,12,1)</f>
        <v>0</v>
      </c>
      <c r="CZ5" t="str">
        <f>MID(CM5,13,1)</f>
        <v>0</v>
      </c>
      <c r="DA5" t="str">
        <f>MID(CM5,14,1)</f>
        <v>0</v>
      </c>
      <c r="DB5" t="str">
        <f>MID(CM5,15,1)</f>
        <v>0</v>
      </c>
      <c r="DC5" t="str">
        <f>MID(CM5,16,1)</f>
        <v>0</v>
      </c>
    </row>
    <row r="6" spans="1:107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I6">
        <v>0</v>
      </c>
      <c r="AJ6">
        <v>1</v>
      </c>
      <c r="CD6" s="5">
        <v>23</v>
      </c>
      <c r="CE6" s="5" t="str">
        <f>MID(CI6,CD6,2)</f>
        <v>7f</v>
      </c>
      <c r="CF6" s="5" t="str">
        <f t="shared" ref="CF6:CF20" si="6">MID(CI6,CG6,2)</f>
        <v>e0</v>
      </c>
      <c r="CG6" s="5">
        <v>29</v>
      </c>
      <c r="CI6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6" t="s">
        <v>85</v>
      </c>
      <c r="CK6" t="str">
        <f>HEX2BIN(CE6,8)</f>
        <v>01111111</v>
      </c>
      <c r="CL6" t="str">
        <f>HEX2BIN(CF6,8)</f>
        <v>11100000</v>
      </c>
      <c r="CM6" t="str">
        <f t="shared" ref="CM6:CM20" si="7">CK6&amp;CL6</f>
        <v>0111111111100000</v>
      </c>
      <c r="CN6" t="str">
        <f t="shared" ref="CN6:CN20" si="8">MID(CM6,1,1)</f>
        <v>0</v>
      </c>
      <c r="CO6" t="str">
        <f t="shared" ref="CO6:CO20" si="9">MID(CM6,2,1)</f>
        <v>1</v>
      </c>
      <c r="CP6" t="str">
        <f t="shared" ref="CP6:CP20" si="10">MID(CM6,3,1)</f>
        <v>1</v>
      </c>
      <c r="CQ6" t="str">
        <f t="shared" ref="CQ6:CQ20" si="11">MID(CM6,4,1)</f>
        <v>1</v>
      </c>
      <c r="CR6" t="str">
        <f t="shared" ref="CR6:CR20" si="12">MID(CM6,5,1)</f>
        <v>1</v>
      </c>
      <c r="CS6" t="str">
        <f t="shared" ref="CS6:CS20" si="13">MID(CM6,6,1)</f>
        <v>1</v>
      </c>
      <c r="CT6" t="str">
        <f t="shared" ref="CT6:CT20" si="14">MID(CM6,7,1)</f>
        <v>1</v>
      </c>
      <c r="CU6" t="str">
        <f t="shared" ref="CU6:CU20" si="15">MID(CM6,8,1)</f>
        <v>1</v>
      </c>
      <c r="CV6" t="str">
        <f t="shared" ref="CV6:CV20" si="16">MID(CM6,9,1)</f>
        <v>1</v>
      </c>
      <c r="CW6" t="str">
        <f t="shared" ref="CW6:CW20" si="17">MID(CM6,10,1)</f>
        <v>1</v>
      </c>
      <c r="CX6" t="str">
        <f t="shared" ref="CX6:CX20" si="18">MID(CM6,11,1)</f>
        <v>1</v>
      </c>
      <c r="CY6" t="str">
        <f t="shared" ref="CY6:CY20" si="19">MID(CM6,12,1)</f>
        <v>0</v>
      </c>
      <c r="CZ6" t="str">
        <f t="shared" ref="CZ6:CZ20" si="20">MID(CM6,13,1)</f>
        <v>0</v>
      </c>
      <c r="DA6" t="str">
        <f t="shared" ref="DA6:DA20" si="21">MID(CM6,14,1)</f>
        <v>0</v>
      </c>
      <c r="DB6" t="str">
        <f t="shared" ref="DB6:DB20" si="22">MID(CM6,15,1)</f>
        <v>0</v>
      </c>
      <c r="DC6" t="str">
        <f t="shared" ref="DC6:DC23" si="23">MID(CM6,16,1)</f>
        <v>0</v>
      </c>
    </row>
    <row r="7" spans="1:107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I7">
        <v>0</v>
      </c>
      <c r="AJ7">
        <v>0</v>
      </c>
      <c r="AK7">
        <v>0</v>
      </c>
      <c r="AL7">
        <v>0</v>
      </c>
      <c r="CD7" s="5">
        <v>35</v>
      </c>
      <c r="CE7" s="5" t="str">
        <f t="shared" ref="CE7:CE20" si="24">MID(CI7,CD7,2)</f>
        <v>f0</v>
      </c>
      <c r="CF7" s="5" t="str">
        <f t="shared" si="6"/>
        <v>f0</v>
      </c>
      <c r="CG7" s="5">
        <v>41</v>
      </c>
      <c r="CI7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7" t="s">
        <v>85</v>
      </c>
      <c r="CK7" t="str">
        <f t="shared" ref="CK7:CK22" si="25">HEX2BIN(CE7,8)</f>
        <v>11110000</v>
      </c>
      <c r="CL7" t="str">
        <f t="shared" ref="CL7:CL22" si="26">HEX2BIN(CF7,8)</f>
        <v>11110000</v>
      </c>
      <c r="CM7" t="str">
        <f t="shared" si="7"/>
        <v>1111000011110000</v>
      </c>
      <c r="CN7" t="str">
        <f t="shared" si="8"/>
        <v>1</v>
      </c>
      <c r="CO7" t="str">
        <f t="shared" si="9"/>
        <v>1</v>
      </c>
      <c r="CP7" t="str">
        <f t="shared" si="10"/>
        <v>1</v>
      </c>
      <c r="CQ7" t="str">
        <f t="shared" si="11"/>
        <v>1</v>
      </c>
      <c r="CR7" t="str">
        <f t="shared" si="12"/>
        <v>0</v>
      </c>
      <c r="CS7" t="str">
        <f t="shared" si="13"/>
        <v>0</v>
      </c>
      <c r="CT7" t="str">
        <f t="shared" si="14"/>
        <v>0</v>
      </c>
      <c r="CU7" t="str">
        <f t="shared" si="15"/>
        <v>0</v>
      </c>
      <c r="CV7" t="str">
        <f t="shared" si="16"/>
        <v>1</v>
      </c>
      <c r="CW7" t="str">
        <f t="shared" si="17"/>
        <v>1</v>
      </c>
      <c r="CX7" t="str">
        <f t="shared" si="18"/>
        <v>1</v>
      </c>
      <c r="CY7" t="str">
        <f t="shared" si="19"/>
        <v>1</v>
      </c>
      <c r="CZ7" t="str">
        <f t="shared" si="20"/>
        <v>0</v>
      </c>
      <c r="DA7" t="str">
        <f t="shared" si="21"/>
        <v>0</v>
      </c>
      <c r="DB7" t="str">
        <f t="shared" si="22"/>
        <v>0</v>
      </c>
      <c r="DC7" t="str">
        <f t="shared" si="23"/>
        <v>0</v>
      </c>
    </row>
    <row r="8" spans="1:107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N8">
        <v>0</v>
      </c>
      <c r="CD8" s="5">
        <v>47</v>
      </c>
      <c r="CE8" s="5" t="str">
        <f t="shared" si="24"/>
        <v>e0</v>
      </c>
      <c r="CF8" s="5" t="str">
        <f t="shared" si="6"/>
        <v>70</v>
      </c>
      <c r="CG8" s="5">
        <v>53</v>
      </c>
      <c r="CI8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8" t="s">
        <v>85</v>
      </c>
      <c r="CK8" t="str">
        <f t="shared" si="25"/>
        <v>11100000</v>
      </c>
      <c r="CL8" t="str">
        <f t="shared" si="26"/>
        <v>01110000</v>
      </c>
      <c r="CM8" t="str">
        <f t="shared" si="7"/>
        <v>1110000001110000</v>
      </c>
      <c r="CN8" t="str">
        <f t="shared" si="8"/>
        <v>1</v>
      </c>
      <c r="CO8" t="str">
        <f t="shared" si="9"/>
        <v>1</v>
      </c>
      <c r="CP8" t="str">
        <f t="shared" si="10"/>
        <v>1</v>
      </c>
      <c r="CQ8" t="str">
        <f t="shared" si="11"/>
        <v>0</v>
      </c>
      <c r="CR8" t="str">
        <f t="shared" si="12"/>
        <v>0</v>
      </c>
      <c r="CS8" t="str">
        <f t="shared" si="13"/>
        <v>0</v>
      </c>
      <c r="CT8" t="str">
        <f t="shared" si="14"/>
        <v>0</v>
      </c>
      <c r="CU8" t="str">
        <f t="shared" si="15"/>
        <v>0</v>
      </c>
      <c r="CV8" t="str">
        <f t="shared" si="16"/>
        <v>0</v>
      </c>
      <c r="CW8" t="str">
        <f t="shared" si="17"/>
        <v>1</v>
      </c>
      <c r="CX8" t="str">
        <f t="shared" si="18"/>
        <v>1</v>
      </c>
      <c r="CY8" t="str">
        <f t="shared" si="19"/>
        <v>1</v>
      </c>
      <c r="CZ8" t="str">
        <f t="shared" si="20"/>
        <v>0</v>
      </c>
      <c r="DA8" t="str">
        <f t="shared" si="21"/>
        <v>0</v>
      </c>
      <c r="DB8" t="str">
        <f t="shared" si="22"/>
        <v>0</v>
      </c>
      <c r="DC8" t="str">
        <f t="shared" si="23"/>
        <v>0</v>
      </c>
    </row>
    <row r="9" spans="1:107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 t="str">
        <f t="shared" si="3"/>
        <v>00010000</v>
      </c>
      <c r="V9" t="str">
        <f t="shared" si="4"/>
        <v>16,</v>
      </c>
      <c r="W9" t="str">
        <f t="shared" si="5"/>
        <v xml:space="preserve"> 0x10,</v>
      </c>
      <c r="X9" t="s">
        <v>0</v>
      </c>
      <c r="Y9" t="s">
        <v>1</v>
      </c>
      <c r="CD9" s="5">
        <v>59</v>
      </c>
      <c r="CE9" s="5" t="str">
        <f t="shared" si="24"/>
        <v>e0</v>
      </c>
      <c r="CF9" s="5" t="str">
        <f t="shared" si="6"/>
        <v>70</v>
      </c>
      <c r="CG9" s="5">
        <v>65</v>
      </c>
      <c r="CI9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9" t="s">
        <v>85</v>
      </c>
      <c r="CK9" t="str">
        <f t="shared" si="25"/>
        <v>11100000</v>
      </c>
      <c r="CL9" t="str">
        <f t="shared" si="26"/>
        <v>01110000</v>
      </c>
      <c r="CM9" t="str">
        <f t="shared" si="7"/>
        <v>1110000001110000</v>
      </c>
      <c r="CN9" t="str">
        <f t="shared" si="8"/>
        <v>1</v>
      </c>
      <c r="CO9" t="str">
        <f t="shared" si="9"/>
        <v>1</v>
      </c>
      <c r="CP9" t="str">
        <f t="shared" si="10"/>
        <v>1</v>
      </c>
      <c r="CQ9" t="str">
        <f t="shared" si="11"/>
        <v>0</v>
      </c>
      <c r="CR9" t="str">
        <f t="shared" si="12"/>
        <v>0</v>
      </c>
      <c r="CS9" t="str">
        <f t="shared" si="13"/>
        <v>0</v>
      </c>
      <c r="CT9" t="str">
        <f t="shared" si="14"/>
        <v>0</v>
      </c>
      <c r="CU9" t="str">
        <f t="shared" si="15"/>
        <v>0</v>
      </c>
      <c r="CV9" t="str">
        <f t="shared" si="16"/>
        <v>0</v>
      </c>
      <c r="CW9" t="str">
        <f t="shared" si="17"/>
        <v>1</v>
      </c>
      <c r="CX9" t="str">
        <f t="shared" si="18"/>
        <v>1</v>
      </c>
      <c r="CY9" t="str">
        <f t="shared" si="19"/>
        <v>1</v>
      </c>
      <c r="CZ9" t="str">
        <f t="shared" si="20"/>
        <v>0</v>
      </c>
      <c r="DA9" t="str">
        <f t="shared" si="21"/>
        <v>0</v>
      </c>
      <c r="DB9" t="str">
        <f t="shared" si="22"/>
        <v>0</v>
      </c>
      <c r="DC9" t="str">
        <f t="shared" si="23"/>
        <v>0</v>
      </c>
    </row>
    <row r="10" spans="1:107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CD10" s="5">
        <v>71</v>
      </c>
      <c r="CE10" s="5" t="str">
        <f t="shared" si="24"/>
        <v>00</v>
      </c>
      <c r="CF10" s="5" t="str">
        <f t="shared" si="6"/>
        <v>f0</v>
      </c>
      <c r="CG10" s="5">
        <v>77</v>
      </c>
      <c r="CI10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0" t="s">
        <v>85</v>
      </c>
      <c r="CK10" t="str">
        <f t="shared" si="25"/>
        <v>00000000</v>
      </c>
      <c r="CL10" t="str">
        <f t="shared" si="26"/>
        <v>11110000</v>
      </c>
      <c r="CM10" t="str">
        <f t="shared" si="7"/>
        <v>0000000011110000</v>
      </c>
      <c r="CN10" t="str">
        <f t="shared" si="8"/>
        <v>0</v>
      </c>
      <c r="CO10" t="str">
        <f t="shared" si="9"/>
        <v>0</v>
      </c>
      <c r="CP10" t="str">
        <f t="shared" si="10"/>
        <v>0</v>
      </c>
      <c r="CQ10" t="str">
        <f t="shared" si="11"/>
        <v>0</v>
      </c>
      <c r="CR10" t="str">
        <f t="shared" si="12"/>
        <v>0</v>
      </c>
      <c r="CS10" t="str">
        <f t="shared" si="13"/>
        <v>0</v>
      </c>
      <c r="CT10" t="str">
        <f t="shared" si="14"/>
        <v>0</v>
      </c>
      <c r="CU10" t="str">
        <f t="shared" si="15"/>
        <v>0</v>
      </c>
      <c r="CV10" t="str">
        <f t="shared" si="16"/>
        <v>1</v>
      </c>
      <c r="CW10" t="str">
        <f t="shared" si="17"/>
        <v>1</v>
      </c>
      <c r="CX10" t="str">
        <f t="shared" si="18"/>
        <v>1</v>
      </c>
      <c r="CY10" t="str">
        <f t="shared" si="19"/>
        <v>1</v>
      </c>
      <c r="CZ10" t="str">
        <f t="shared" si="20"/>
        <v>0</v>
      </c>
      <c r="DA10" t="str">
        <f t="shared" si="21"/>
        <v>0</v>
      </c>
      <c r="DB10" t="str">
        <f t="shared" si="22"/>
        <v>0</v>
      </c>
      <c r="DC10" t="str">
        <f t="shared" si="23"/>
        <v>0</v>
      </c>
    </row>
    <row r="11" spans="1:107">
      <c r="B11" t="str">
        <f t="shared" si="0"/>
        <v xml:space="preserve"> 0x4E,</v>
      </c>
      <c r="C11" t="str">
        <f t="shared" si="1"/>
        <v>78,</v>
      </c>
      <c r="D11" t="str">
        <f t="shared" si="2"/>
        <v>01001110</v>
      </c>
      <c r="E11">
        <v>0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CD11" s="5">
        <v>83</v>
      </c>
      <c r="CE11" s="5" t="str">
        <f t="shared" si="24"/>
        <v>01</v>
      </c>
      <c r="CF11" s="5" t="str">
        <f t="shared" si="6"/>
        <v>e0</v>
      </c>
      <c r="CG11" s="5">
        <v>89</v>
      </c>
      <c r="CI11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1" t="s">
        <v>85</v>
      </c>
      <c r="CK11" t="str">
        <f t="shared" si="25"/>
        <v>00000001</v>
      </c>
      <c r="CL11" t="str">
        <f t="shared" si="26"/>
        <v>11100000</v>
      </c>
      <c r="CM11" t="str">
        <f t="shared" si="7"/>
        <v>0000000111100000</v>
      </c>
      <c r="CN11" t="str">
        <f t="shared" si="8"/>
        <v>0</v>
      </c>
      <c r="CO11" t="str">
        <f t="shared" si="9"/>
        <v>0</v>
      </c>
      <c r="CP11" t="str">
        <f t="shared" si="10"/>
        <v>0</v>
      </c>
      <c r="CQ11" t="str">
        <f t="shared" si="11"/>
        <v>0</v>
      </c>
      <c r="CR11" t="str">
        <f t="shared" si="12"/>
        <v>0</v>
      </c>
      <c r="CS11" t="str">
        <f t="shared" si="13"/>
        <v>0</v>
      </c>
      <c r="CT11" t="str">
        <f t="shared" si="14"/>
        <v>0</v>
      </c>
      <c r="CU11" t="str">
        <f t="shared" si="15"/>
        <v>1</v>
      </c>
      <c r="CV11" t="str">
        <f t="shared" si="16"/>
        <v>1</v>
      </c>
      <c r="CW11" t="str">
        <f t="shared" si="17"/>
        <v>1</v>
      </c>
      <c r="CX11" t="str">
        <f t="shared" si="18"/>
        <v>1</v>
      </c>
      <c r="CY11" t="str">
        <f t="shared" si="19"/>
        <v>0</v>
      </c>
      <c r="CZ11" t="str">
        <f t="shared" si="20"/>
        <v>0</v>
      </c>
      <c r="DA11" t="str">
        <f t="shared" si="21"/>
        <v>0</v>
      </c>
      <c r="DB11" t="str">
        <f t="shared" si="22"/>
        <v>0</v>
      </c>
      <c r="DC11" t="str">
        <f t="shared" si="23"/>
        <v>0</v>
      </c>
    </row>
    <row r="12" spans="1:107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BK12">
        <v>0</v>
      </c>
      <c r="CD12" s="5">
        <v>95</v>
      </c>
      <c r="CE12" s="5" t="str">
        <f t="shared" si="24"/>
        <v>03</v>
      </c>
      <c r="CF12" s="5" t="str">
        <f t="shared" si="6"/>
        <v>c0</v>
      </c>
      <c r="CG12" s="5">
        <v>101</v>
      </c>
      <c r="CI12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2" t="s">
        <v>85</v>
      </c>
      <c r="CK12" t="str">
        <f t="shared" si="25"/>
        <v>00000011</v>
      </c>
      <c r="CL12" t="str">
        <f t="shared" si="26"/>
        <v>11000000</v>
      </c>
      <c r="CM12" t="str">
        <f t="shared" si="7"/>
        <v>0000001111000000</v>
      </c>
      <c r="CN12" t="str">
        <f t="shared" si="8"/>
        <v>0</v>
      </c>
      <c r="CO12" t="str">
        <f t="shared" si="9"/>
        <v>0</v>
      </c>
      <c r="CP12" t="str">
        <f t="shared" si="10"/>
        <v>0</v>
      </c>
      <c r="CQ12" t="str">
        <f t="shared" si="11"/>
        <v>0</v>
      </c>
      <c r="CR12" t="str">
        <f t="shared" si="12"/>
        <v>0</v>
      </c>
      <c r="CS12" t="str">
        <f t="shared" si="13"/>
        <v>0</v>
      </c>
      <c r="CT12" t="str">
        <f t="shared" si="14"/>
        <v>1</v>
      </c>
      <c r="CU12" t="str">
        <f t="shared" si="15"/>
        <v>1</v>
      </c>
      <c r="CV12" t="str">
        <f t="shared" si="16"/>
        <v>1</v>
      </c>
      <c r="CW12" t="str">
        <f t="shared" si="17"/>
        <v>1</v>
      </c>
      <c r="CX12" t="str">
        <f t="shared" si="18"/>
        <v>0</v>
      </c>
      <c r="CY12" t="str">
        <f t="shared" si="19"/>
        <v>0</v>
      </c>
      <c r="CZ12" t="str">
        <f t="shared" si="20"/>
        <v>0</v>
      </c>
      <c r="DA12" t="str">
        <f t="shared" si="21"/>
        <v>0</v>
      </c>
      <c r="DB12" t="str">
        <f t="shared" si="22"/>
        <v>0</v>
      </c>
      <c r="DC12" t="str">
        <f t="shared" si="23"/>
        <v>0</v>
      </c>
    </row>
    <row r="13" spans="1:107">
      <c r="B13" t="str">
        <f t="shared" si="0"/>
        <v xml:space="preserve"> 0x86,</v>
      </c>
      <c r="C13" t="str">
        <f t="shared" si="1"/>
        <v>134,</v>
      </c>
      <c r="D13" t="str">
        <f t="shared" si="2"/>
        <v>10000110</v>
      </c>
      <c r="E13">
        <v>1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00100000</v>
      </c>
      <c r="V13" t="str">
        <f t="shared" si="4"/>
        <v>32,</v>
      </c>
      <c r="W13" t="str">
        <f t="shared" si="5"/>
        <v xml:space="preserve"> 0x20,</v>
      </c>
      <c r="X13" t="s">
        <v>0</v>
      </c>
      <c r="Y13" t="s">
        <v>1</v>
      </c>
      <c r="CD13" s="5">
        <v>107</v>
      </c>
      <c r="CE13" s="5" t="str">
        <f t="shared" si="24"/>
        <v>07</v>
      </c>
      <c r="CF13" s="5" t="str">
        <f t="shared" si="6"/>
        <v>80</v>
      </c>
      <c r="CG13" s="5">
        <v>113</v>
      </c>
      <c r="CI13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3" t="s">
        <v>85</v>
      </c>
      <c r="CK13" t="str">
        <f t="shared" si="25"/>
        <v>00000111</v>
      </c>
      <c r="CL13" t="str">
        <f t="shared" si="26"/>
        <v>10000000</v>
      </c>
      <c r="CM13" t="str">
        <f t="shared" si="7"/>
        <v>0000011110000000</v>
      </c>
      <c r="CN13" t="str">
        <f t="shared" si="8"/>
        <v>0</v>
      </c>
      <c r="CO13" t="str">
        <f t="shared" si="9"/>
        <v>0</v>
      </c>
      <c r="CP13" t="str">
        <f t="shared" si="10"/>
        <v>0</v>
      </c>
      <c r="CQ13" t="str">
        <f t="shared" si="11"/>
        <v>0</v>
      </c>
      <c r="CR13" t="str">
        <f t="shared" si="12"/>
        <v>0</v>
      </c>
      <c r="CS13" t="str">
        <f t="shared" si="13"/>
        <v>1</v>
      </c>
      <c r="CT13" t="str">
        <f t="shared" si="14"/>
        <v>1</v>
      </c>
      <c r="CU13" t="str">
        <f t="shared" si="15"/>
        <v>1</v>
      </c>
      <c r="CV13" t="str">
        <f t="shared" si="16"/>
        <v>1</v>
      </c>
      <c r="CW13" t="str">
        <f t="shared" si="17"/>
        <v>0</v>
      </c>
      <c r="CX13" t="str">
        <f t="shared" si="18"/>
        <v>0</v>
      </c>
      <c r="CY13" t="str">
        <f t="shared" si="19"/>
        <v>0</v>
      </c>
      <c r="CZ13" t="str">
        <f t="shared" si="20"/>
        <v>0</v>
      </c>
      <c r="DA13" t="str">
        <f t="shared" si="21"/>
        <v>0</v>
      </c>
      <c r="DB13" t="str">
        <f t="shared" si="22"/>
        <v>0</v>
      </c>
      <c r="DC13" t="str">
        <f t="shared" si="23"/>
        <v>0</v>
      </c>
    </row>
    <row r="14" spans="1:107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CD14" s="5">
        <v>119</v>
      </c>
      <c r="CE14" s="5" t="str">
        <f t="shared" si="24"/>
        <v>0f</v>
      </c>
      <c r="CF14" s="5" t="str">
        <f t="shared" si="6"/>
        <v>00</v>
      </c>
      <c r="CG14" s="5">
        <v>125</v>
      </c>
      <c r="CI14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4" t="s">
        <v>85</v>
      </c>
      <c r="CK14" t="str">
        <f t="shared" si="25"/>
        <v>00001111</v>
      </c>
      <c r="CL14" t="str">
        <f t="shared" si="26"/>
        <v>00000000</v>
      </c>
      <c r="CM14" t="str">
        <f t="shared" si="7"/>
        <v>0000111100000000</v>
      </c>
      <c r="CN14" t="str">
        <f t="shared" si="8"/>
        <v>0</v>
      </c>
      <c r="CO14" t="str">
        <f t="shared" si="9"/>
        <v>0</v>
      </c>
      <c r="CP14" t="str">
        <f t="shared" si="10"/>
        <v>0</v>
      </c>
      <c r="CQ14" t="str">
        <f t="shared" si="11"/>
        <v>0</v>
      </c>
      <c r="CR14" t="str">
        <f t="shared" si="12"/>
        <v>1</v>
      </c>
      <c r="CS14" t="str">
        <f t="shared" si="13"/>
        <v>1</v>
      </c>
      <c r="CT14" t="str">
        <f t="shared" si="14"/>
        <v>1</v>
      </c>
      <c r="CU14" t="str">
        <f t="shared" si="15"/>
        <v>1</v>
      </c>
      <c r="CV14" t="str">
        <f t="shared" si="16"/>
        <v>0</v>
      </c>
      <c r="CW14" t="str">
        <f t="shared" si="17"/>
        <v>0</v>
      </c>
      <c r="CX14" t="str">
        <f t="shared" si="18"/>
        <v>0</v>
      </c>
      <c r="CY14" t="str">
        <f t="shared" si="19"/>
        <v>0</v>
      </c>
      <c r="CZ14" t="str">
        <f t="shared" si="20"/>
        <v>0</v>
      </c>
      <c r="DA14" t="str">
        <f t="shared" si="21"/>
        <v>0</v>
      </c>
      <c r="DB14" t="str">
        <f t="shared" si="22"/>
        <v>0</v>
      </c>
      <c r="DC14" t="str">
        <f t="shared" si="23"/>
        <v>0</v>
      </c>
    </row>
    <row r="15" spans="1:107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CD15" s="5">
        <v>131</v>
      </c>
      <c r="CE15" s="5" t="str">
        <f t="shared" si="24"/>
        <v>1e</v>
      </c>
      <c r="CF15" s="5" t="str">
        <f t="shared" si="6"/>
        <v>00</v>
      </c>
      <c r="CG15" s="5">
        <v>137</v>
      </c>
      <c r="CI15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5" t="s">
        <v>85</v>
      </c>
      <c r="CK15" t="str">
        <f t="shared" si="25"/>
        <v>00011110</v>
      </c>
      <c r="CL15" t="str">
        <f t="shared" si="26"/>
        <v>00000000</v>
      </c>
      <c r="CM15" t="str">
        <f t="shared" si="7"/>
        <v>0001111000000000</v>
      </c>
      <c r="CN15" t="str">
        <f t="shared" si="8"/>
        <v>0</v>
      </c>
      <c r="CO15" t="str">
        <f t="shared" si="9"/>
        <v>0</v>
      </c>
      <c r="CP15" t="str">
        <f t="shared" si="10"/>
        <v>0</v>
      </c>
      <c r="CQ15" t="str">
        <f t="shared" si="11"/>
        <v>1</v>
      </c>
      <c r="CR15" t="str">
        <f t="shared" si="12"/>
        <v>1</v>
      </c>
      <c r="CS15" t="str">
        <f t="shared" si="13"/>
        <v>1</v>
      </c>
      <c r="CT15" t="str">
        <f t="shared" si="14"/>
        <v>1</v>
      </c>
      <c r="CU15" t="str">
        <f t="shared" si="15"/>
        <v>0</v>
      </c>
      <c r="CV15" t="str">
        <f t="shared" si="16"/>
        <v>0</v>
      </c>
      <c r="CW15" t="str">
        <f t="shared" si="17"/>
        <v>0</v>
      </c>
      <c r="CX15" t="str">
        <f t="shared" si="18"/>
        <v>0</v>
      </c>
      <c r="CY15" t="str">
        <f t="shared" si="19"/>
        <v>0</v>
      </c>
      <c r="CZ15" t="str">
        <f t="shared" si="20"/>
        <v>0</v>
      </c>
      <c r="DA15" t="str">
        <f t="shared" si="21"/>
        <v>0</v>
      </c>
      <c r="DB15" t="str">
        <f t="shared" si="22"/>
        <v>0</v>
      </c>
      <c r="DC15" t="str">
        <f t="shared" si="23"/>
        <v>0</v>
      </c>
    </row>
    <row r="16" spans="1:107">
      <c r="B16" t="str">
        <f t="shared" si="0"/>
        <v xml:space="preserve"> 0xFC,</v>
      </c>
      <c r="C16" t="str">
        <f t="shared" si="1"/>
        <v>252,</v>
      </c>
      <c r="D16" t="str">
        <f t="shared" si="2"/>
        <v>11111100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CD16" s="5">
        <v>143</v>
      </c>
      <c r="CE16" s="5" t="str">
        <f t="shared" si="24"/>
        <v>3c</v>
      </c>
      <c r="CF16" s="5" t="str">
        <f t="shared" si="6"/>
        <v>00</v>
      </c>
      <c r="CG16" s="5">
        <v>149</v>
      </c>
      <c r="CI16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6" t="s">
        <v>85</v>
      </c>
      <c r="CK16" t="str">
        <f t="shared" si="25"/>
        <v>00111100</v>
      </c>
      <c r="CL16" t="str">
        <f t="shared" si="26"/>
        <v>00000000</v>
      </c>
      <c r="CM16" t="str">
        <f t="shared" si="7"/>
        <v>0011110000000000</v>
      </c>
      <c r="CN16" t="str">
        <f t="shared" si="8"/>
        <v>0</v>
      </c>
      <c r="CO16" t="str">
        <f t="shared" si="9"/>
        <v>0</v>
      </c>
      <c r="CP16" t="str">
        <f t="shared" si="10"/>
        <v>1</v>
      </c>
      <c r="CQ16" t="str">
        <f t="shared" si="11"/>
        <v>1</v>
      </c>
      <c r="CR16" t="str">
        <f t="shared" si="12"/>
        <v>1</v>
      </c>
      <c r="CS16" t="str">
        <f t="shared" si="13"/>
        <v>1</v>
      </c>
      <c r="CT16" t="str">
        <f t="shared" si="14"/>
        <v>0</v>
      </c>
      <c r="CU16" t="str">
        <f t="shared" si="15"/>
        <v>0</v>
      </c>
      <c r="CV16" t="str">
        <f t="shared" si="16"/>
        <v>0</v>
      </c>
      <c r="CW16" t="str">
        <f t="shared" si="17"/>
        <v>0</v>
      </c>
      <c r="CX16" t="str">
        <f t="shared" si="18"/>
        <v>0</v>
      </c>
      <c r="CY16" t="str">
        <f t="shared" si="19"/>
        <v>0</v>
      </c>
      <c r="CZ16" t="str">
        <f t="shared" si="20"/>
        <v>0</v>
      </c>
      <c r="DA16" t="str">
        <f t="shared" si="21"/>
        <v>0</v>
      </c>
      <c r="DB16" t="str">
        <f t="shared" si="22"/>
        <v>0</v>
      </c>
      <c r="DC16" t="str">
        <f t="shared" si="23"/>
        <v>0</v>
      </c>
    </row>
    <row r="17" spans="1:107">
      <c r="B17" t="str">
        <f t="shared" si="0"/>
        <v xml:space="preserve"> 0x78,</v>
      </c>
      <c r="C17" t="str">
        <f t="shared" si="1"/>
        <v>120,</v>
      </c>
      <c r="D17" t="str">
        <f t="shared" si="2"/>
        <v>01111000</v>
      </c>
      <c r="E17">
        <v>0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CD17" s="5">
        <v>155</v>
      </c>
      <c r="CE17" s="5" t="str">
        <f t="shared" si="24"/>
        <v>78</v>
      </c>
      <c r="CF17" s="5" t="str">
        <f t="shared" si="6"/>
        <v>00</v>
      </c>
      <c r="CG17" s="5">
        <v>161</v>
      </c>
      <c r="CI17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7" t="s">
        <v>85</v>
      </c>
      <c r="CK17" t="str">
        <f t="shared" si="25"/>
        <v>01111000</v>
      </c>
      <c r="CL17" t="str">
        <f t="shared" si="26"/>
        <v>00000000</v>
      </c>
      <c r="CM17" t="str">
        <f t="shared" si="7"/>
        <v>0111100000000000</v>
      </c>
      <c r="CN17" t="str">
        <f t="shared" si="8"/>
        <v>0</v>
      </c>
      <c r="CO17" t="str">
        <f t="shared" si="9"/>
        <v>1</v>
      </c>
      <c r="CP17" t="str">
        <f t="shared" si="10"/>
        <v>1</v>
      </c>
      <c r="CQ17" t="str">
        <f t="shared" si="11"/>
        <v>1</v>
      </c>
      <c r="CR17" t="str">
        <f t="shared" si="12"/>
        <v>1</v>
      </c>
      <c r="CS17" t="str">
        <f t="shared" si="13"/>
        <v>0</v>
      </c>
      <c r="CT17" t="str">
        <f t="shared" si="14"/>
        <v>0</v>
      </c>
      <c r="CU17" t="str">
        <f t="shared" si="15"/>
        <v>0</v>
      </c>
      <c r="CV17" t="str">
        <f t="shared" si="16"/>
        <v>0</v>
      </c>
      <c r="CW17" t="str">
        <f t="shared" si="17"/>
        <v>0</v>
      </c>
      <c r="CX17" t="str">
        <f t="shared" si="18"/>
        <v>0</v>
      </c>
      <c r="CY17" t="str">
        <f t="shared" si="19"/>
        <v>0</v>
      </c>
      <c r="CZ17" t="str">
        <f t="shared" si="20"/>
        <v>0</v>
      </c>
      <c r="DA17" t="str">
        <f t="shared" si="21"/>
        <v>0</v>
      </c>
      <c r="DB17" t="str">
        <f t="shared" si="22"/>
        <v>0</v>
      </c>
      <c r="DC17" t="str">
        <f t="shared" si="23"/>
        <v>0</v>
      </c>
    </row>
    <row r="18" spans="1:107">
      <c r="B18" t="str">
        <f t="shared" si="0"/>
        <v xml:space="preserve"> 0xF0,</v>
      </c>
      <c r="C18" t="str">
        <f t="shared" si="1"/>
        <v>240,</v>
      </c>
      <c r="D18" t="str">
        <f t="shared" si="2"/>
        <v>11110000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CD18" s="5">
        <v>167</v>
      </c>
      <c r="CE18" s="5" t="str">
        <f t="shared" si="24"/>
        <v>f0</v>
      </c>
      <c r="CF18" s="5" t="str">
        <f t="shared" si="6"/>
        <v>70</v>
      </c>
      <c r="CG18" s="5">
        <v>173</v>
      </c>
      <c r="CI18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8" t="s">
        <v>85</v>
      </c>
      <c r="CK18" t="str">
        <f t="shared" si="25"/>
        <v>11110000</v>
      </c>
      <c r="CL18" t="str">
        <f t="shared" si="26"/>
        <v>01110000</v>
      </c>
      <c r="CM18" t="str">
        <f t="shared" si="7"/>
        <v>1111000001110000</v>
      </c>
      <c r="CN18" t="str">
        <f t="shared" si="8"/>
        <v>1</v>
      </c>
      <c r="CO18" t="str">
        <f t="shared" si="9"/>
        <v>1</v>
      </c>
      <c r="CP18" t="str">
        <f t="shared" si="10"/>
        <v>1</v>
      </c>
      <c r="CQ18" t="str">
        <f t="shared" si="11"/>
        <v>1</v>
      </c>
      <c r="CR18" t="str">
        <f t="shared" si="12"/>
        <v>0</v>
      </c>
      <c r="CS18" t="str">
        <f t="shared" si="13"/>
        <v>0</v>
      </c>
      <c r="CT18" t="str">
        <f t="shared" si="14"/>
        <v>0</v>
      </c>
      <c r="CU18" t="str">
        <f t="shared" si="15"/>
        <v>0</v>
      </c>
      <c r="CV18" t="str">
        <f t="shared" si="16"/>
        <v>0</v>
      </c>
      <c r="CW18" t="str">
        <f t="shared" si="17"/>
        <v>1</v>
      </c>
      <c r="CX18" t="str">
        <f t="shared" si="18"/>
        <v>1</v>
      </c>
      <c r="CY18" t="str">
        <f t="shared" si="19"/>
        <v>1</v>
      </c>
      <c r="CZ18" t="str">
        <f t="shared" si="20"/>
        <v>0</v>
      </c>
      <c r="DA18" t="str">
        <f t="shared" si="21"/>
        <v>0</v>
      </c>
      <c r="DB18" t="str">
        <f t="shared" si="22"/>
        <v>0</v>
      </c>
      <c r="DC18" t="str">
        <f t="shared" si="23"/>
        <v>0</v>
      </c>
    </row>
    <row r="19" spans="1:107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BG19">
        <v>0</v>
      </c>
      <c r="CD19" s="5">
        <v>179</v>
      </c>
      <c r="CE19" s="5" t="str">
        <f t="shared" si="24"/>
        <v>ff</v>
      </c>
      <c r="CF19" s="5" t="str">
        <f t="shared" si="6"/>
        <v>f0</v>
      </c>
      <c r="CG19" s="5">
        <v>185</v>
      </c>
      <c r="CI19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19" t="s">
        <v>85</v>
      </c>
      <c r="CK19" t="str">
        <f t="shared" si="25"/>
        <v>11111111</v>
      </c>
      <c r="CL19" t="str">
        <f t="shared" si="26"/>
        <v>11110000</v>
      </c>
      <c r="CM19" t="str">
        <f t="shared" si="7"/>
        <v>1111111111110000</v>
      </c>
      <c r="CN19" t="str">
        <f t="shared" si="8"/>
        <v>1</v>
      </c>
      <c r="CO19" t="str">
        <f t="shared" si="9"/>
        <v>1</v>
      </c>
      <c r="CP19" t="str">
        <f t="shared" si="10"/>
        <v>1</v>
      </c>
      <c r="CQ19" t="str">
        <f t="shared" si="11"/>
        <v>1</v>
      </c>
      <c r="CR19" t="str">
        <f t="shared" si="12"/>
        <v>1</v>
      </c>
      <c r="CS19" t="str">
        <f t="shared" si="13"/>
        <v>1</v>
      </c>
      <c r="CT19" t="str">
        <f t="shared" si="14"/>
        <v>1</v>
      </c>
      <c r="CU19" t="str">
        <f t="shared" si="15"/>
        <v>1</v>
      </c>
      <c r="CV19" t="str">
        <f t="shared" si="16"/>
        <v>1</v>
      </c>
      <c r="CW19" t="str">
        <f t="shared" si="17"/>
        <v>1</v>
      </c>
      <c r="CX19" t="str">
        <f t="shared" si="18"/>
        <v>1</v>
      </c>
      <c r="CY19" t="str">
        <f t="shared" si="19"/>
        <v>1</v>
      </c>
      <c r="CZ19" t="str">
        <f t="shared" si="20"/>
        <v>0</v>
      </c>
      <c r="DA19" t="str">
        <f t="shared" si="21"/>
        <v>0</v>
      </c>
      <c r="DB19" t="str">
        <f t="shared" si="22"/>
        <v>0</v>
      </c>
      <c r="DC19" t="str">
        <f t="shared" si="23"/>
        <v>0</v>
      </c>
    </row>
    <row r="20" spans="1:107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CD20" s="5">
        <v>191</v>
      </c>
      <c r="CE20" s="5" t="str">
        <f t="shared" si="24"/>
        <v>ff</v>
      </c>
      <c r="CF20" s="5" t="str">
        <f t="shared" si="6"/>
        <v>f0</v>
      </c>
      <c r="CG20" s="5">
        <v>197</v>
      </c>
      <c r="CI20" t="str">
        <f>CE3</f>
        <v xml:space="preserve">  0x0c, 0x3f, 0xc0, 0x7f, 0xe0, 0xf0, 0xf0, 0xe0, 0x70, 0xe0, 0x70, 0x00, 0xf0, 0x01, 0xe0, 0x03, 0xc0, 0x07, 0x80, 0x0f, 0x00, 0x1e, 0x00, 0x3c, 0x00, 0x78, 0x00, 0xf0, 0x70, 0xff, 0xf0, 0xff, 0xf0,   // char 50: 2</v>
      </c>
      <c r="CJ20" t="s">
        <v>85</v>
      </c>
      <c r="CK20" t="str">
        <f t="shared" si="25"/>
        <v>11111111</v>
      </c>
      <c r="CL20" t="str">
        <f t="shared" si="26"/>
        <v>11110000</v>
      </c>
      <c r="CM20" t="str">
        <f t="shared" si="7"/>
        <v>1111111111110000</v>
      </c>
      <c r="CN20" t="str">
        <f t="shared" si="8"/>
        <v>1</v>
      </c>
      <c r="CO20" t="str">
        <f t="shared" si="9"/>
        <v>1</v>
      </c>
      <c r="CP20" t="str">
        <f t="shared" si="10"/>
        <v>1</v>
      </c>
      <c r="CQ20" t="str">
        <f t="shared" si="11"/>
        <v>1</v>
      </c>
      <c r="CR20" t="str">
        <f t="shared" si="12"/>
        <v>1</v>
      </c>
      <c r="CS20" t="str">
        <f t="shared" si="13"/>
        <v>1</v>
      </c>
      <c r="CT20" t="str">
        <f t="shared" si="14"/>
        <v>1</v>
      </c>
      <c r="CU20" t="str">
        <f t="shared" si="15"/>
        <v>1</v>
      </c>
      <c r="CV20" t="str">
        <f t="shared" si="16"/>
        <v>1</v>
      </c>
      <c r="CW20" t="str">
        <f t="shared" si="17"/>
        <v>1</v>
      </c>
      <c r="CX20" t="str">
        <f t="shared" si="18"/>
        <v>1</v>
      </c>
      <c r="CY20" t="str">
        <f t="shared" si="19"/>
        <v>1</v>
      </c>
      <c r="CZ20" t="str">
        <f t="shared" si="20"/>
        <v>0</v>
      </c>
      <c r="DA20" t="str">
        <f t="shared" si="21"/>
        <v>0</v>
      </c>
      <c r="DB20" t="str">
        <f t="shared" si="22"/>
        <v>0</v>
      </c>
      <c r="DC20" t="str">
        <f t="shared" si="23"/>
        <v>0</v>
      </c>
    </row>
    <row r="21" spans="1:107" hidden="1">
      <c r="AA21" t="str">
        <f t="shared" ref="AA21:AA22" si="27">CE19</f>
        <v>ff</v>
      </c>
      <c r="CD21">
        <v>173</v>
      </c>
      <c r="CE21" t="str">
        <f t="shared" ref="CE21:CE22" si="28">MID(CE19,11,2)</f>
        <v/>
      </c>
      <c r="CK21" t="str">
        <f t="shared" si="25"/>
        <v>00000000</v>
      </c>
      <c r="CL21" t="str">
        <f t="shared" si="26"/>
        <v>00000000</v>
      </c>
      <c r="DC21" t="str">
        <f t="shared" si="23"/>
        <v/>
      </c>
    </row>
    <row r="22" spans="1:107" hidden="1">
      <c r="A22" t="s">
        <v>2</v>
      </c>
      <c r="E22">
        <f t="shared" ref="E22:S22" si="29">MAX(E5:E20)</f>
        <v>1</v>
      </c>
      <c r="F22">
        <f t="shared" si="29"/>
        <v>1</v>
      </c>
      <c r="G22">
        <f t="shared" si="29"/>
        <v>1</v>
      </c>
      <c r="H22">
        <f t="shared" si="29"/>
        <v>1</v>
      </c>
      <c r="I22">
        <f t="shared" si="29"/>
        <v>1</v>
      </c>
      <c r="J22">
        <f t="shared" si="29"/>
        <v>1</v>
      </c>
      <c r="K22">
        <f t="shared" si="29"/>
        <v>1</v>
      </c>
      <c r="L22">
        <f t="shared" si="29"/>
        <v>0</v>
      </c>
      <c r="M22">
        <f t="shared" si="29"/>
        <v>0</v>
      </c>
      <c r="N22">
        <f t="shared" si="29"/>
        <v>0</v>
      </c>
      <c r="O22">
        <f t="shared" si="29"/>
        <v>1</v>
      </c>
      <c r="P22">
        <f t="shared" si="29"/>
        <v>1</v>
      </c>
      <c r="Q22">
        <f t="shared" si="29"/>
        <v>0</v>
      </c>
      <c r="R22">
        <f t="shared" si="29"/>
        <v>0</v>
      </c>
      <c r="S22">
        <f t="shared" si="29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AA22" t="str">
        <f t="shared" si="27"/>
        <v>ff</v>
      </c>
      <c r="CD22">
        <v>183</v>
      </c>
      <c r="CE22" t="str">
        <f t="shared" si="28"/>
        <v/>
      </c>
      <c r="CK22" t="str">
        <f t="shared" si="25"/>
        <v>00000000</v>
      </c>
      <c r="CL22" t="str">
        <f t="shared" si="26"/>
        <v>00000000</v>
      </c>
      <c r="DC22" t="str">
        <f t="shared" si="23"/>
        <v/>
      </c>
    </row>
    <row r="23" spans="1:107">
      <c r="DC23" t="str">
        <f t="shared" si="23"/>
        <v/>
      </c>
    </row>
    <row r="24" spans="1:107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9,192,0,0,0,0,0,0,0,56,16,252,0,78,0,198,0,134,32,198,0,206,0,252,0,120,0,240,0,192,0,192,0,     //  ххх     //  ххх</v>
      </c>
      <c r="AA24" t="s">
        <v>86</v>
      </c>
      <c r="AC24" s="1"/>
      <c r="BD24" s="1"/>
    </row>
    <row r="25" spans="1:107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0xC0, 0x00, 0x00, 0x00, 0x00, 0x00, 0x00, 0x00, 0x38, 0x10, 0xFC, 0x00, 0x4E, 0x00, 0xC6, 0x00, 0x86, 0x20, 0xC6, 0x00, 0xCE, 0x00, 0xFC, 0x00, 0x78, 0x00, 0xF0, 0x00, 0xC0, 0x00, 0xC0, 0x00,     //  ххх     //  ххх</v>
      </c>
      <c r="AA25" s="1" t="s">
        <v>87</v>
      </c>
      <c r="AC25" s="2"/>
      <c r="BD25" s="2"/>
    </row>
    <row r="28" spans="1:107">
      <c r="A28" s="1" t="str">
        <f>$B$24</f>
        <v>9,192,0,0,0,0,0,0,0,56,16,252,0,78,0,198,0,134,32,198,0,206,0,252,0,120,0,240,0,192,0,192,0,     //  ххх     //  ххх</v>
      </c>
      <c r="E28" t="s">
        <v>4</v>
      </c>
      <c r="AB28" s="7"/>
      <c r="BC28" s="7"/>
    </row>
    <row r="29" spans="1:107">
      <c r="A29" s="2" t="str">
        <f>$B$25</f>
        <v xml:space="preserve"> 0x09, 0xC0, 0x00, 0x00, 0x00, 0x00, 0x00, 0x00, 0x00, 0x38, 0x10, 0xFC, 0x00, 0x4E, 0x00, 0xC6, 0x00, 0x86, 0x20, 0xC6, 0x00, 0xCE, 0x00, 0xFC, 0x00, 0x78, 0x00, 0xF0, 0x00, 0xC0, 0x00, 0xC0, 0x00,     //  ххх     //  ххх</v>
      </c>
      <c r="E29" t="s">
        <v>3</v>
      </c>
      <c r="AB29" s="7"/>
      <c r="BC29" s="7"/>
    </row>
  </sheetData>
  <conditionalFormatting sqref="E5:T20">
    <cfRule type="colorScale" priority="10">
      <colorScale>
        <cfvo type="num" val="0"/>
        <cfvo type="num" val="1"/>
        <color theme="0" tint="-0.14999847407452621"/>
        <color rgb="FFFF0000"/>
      </colorScale>
    </cfRule>
    <cfRule type="colorScale" priority="5">
      <colorScale>
        <cfvo type="num" val="0"/>
        <cfvo type="num" val="1"/>
        <color theme="0" tint="-0.249977111117893"/>
        <color rgb="FFFF0000"/>
      </colorScale>
    </cfRule>
  </conditionalFormatting>
  <conditionalFormatting sqref="E5:T20">
    <cfRule type="colorScale" priority="7">
      <colorScale>
        <cfvo type="num" val="0"/>
        <cfvo type="num" val="1"/>
        <color theme="0" tint="-0.14999847407452621"/>
        <color rgb="FFFF0000"/>
      </colorScale>
    </cfRule>
  </conditionalFormatting>
  <conditionalFormatting sqref="CN5:DC20">
    <cfRule type="containsText" dxfId="1" priority="2" operator="containsText" text="1">
      <formula>NOT(ISERROR(SEARCH("1",CN5)))</formula>
    </cfRule>
    <cfRule type="containsText" dxfId="0" priority="1" operator="containsText" text="0">
      <formula>NOT(ISERROR(SEARCH("0",CN5)))</formula>
    </cfRule>
  </conditionalFormatting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26</vt:i4>
      </vt:variant>
    </vt:vector>
  </HeadingPairs>
  <TitlesOfParts>
    <vt:vector size="26" baseType="lpstr">
      <vt:lpstr>рст</vt:lpstr>
      <vt:lpstr>уфх</vt:lpstr>
      <vt:lpstr>цчш</vt:lpstr>
      <vt:lpstr>щъы</vt:lpstr>
      <vt:lpstr>ьэю</vt:lpstr>
      <vt:lpstr>яАБ</vt:lpstr>
      <vt:lpstr>ВГД</vt:lpstr>
      <vt:lpstr>ЕЖЗ</vt:lpstr>
      <vt:lpstr>ИЙК</vt:lpstr>
      <vt:lpstr>ЛМН</vt:lpstr>
      <vt:lpstr>ОПР</vt:lpstr>
      <vt:lpstr>СТУ</vt:lpstr>
      <vt:lpstr>ФХЦ</vt:lpstr>
      <vt:lpstr>ЧШЩ</vt:lpstr>
      <vt:lpstr>ЪЫЬ</vt:lpstr>
      <vt:lpstr>ЭЮЯ</vt:lpstr>
      <vt:lpstr>абв</vt:lpstr>
      <vt:lpstr>где</vt:lpstr>
      <vt:lpstr>жзи</vt:lpstr>
      <vt:lpstr>йкл</vt:lpstr>
      <vt:lpstr>мно</vt:lpstr>
      <vt:lpstr>пххх</vt:lpstr>
      <vt:lpstr>итог</vt:lpstr>
      <vt:lpstr>Лист1</vt:lpstr>
      <vt:lpstr>Лист2</vt:lpstr>
      <vt:lpstr>обратка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2017-11-18T17:50:06Z</dcterms:modified>
</cp:coreProperties>
</file>